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34\Desktop\"/>
    </mc:Choice>
  </mc:AlternateContent>
  <xr:revisionPtr revIDLastSave="0" documentId="13_ncr:1_{4BC4579B-918E-45C1-952E-EF53EFB005BC}" xr6:coauthVersionLast="47" xr6:coauthVersionMax="47" xr10:uidLastSave="{00000000-0000-0000-0000-000000000000}"/>
  <bookViews>
    <workbookView xWindow="-108" yWindow="-108" windowWidth="23256" windowHeight="12456" xr2:uid="{C464085D-61DE-44FE-8030-F70B4218928D}"/>
  </bookViews>
  <sheets>
    <sheet name="Dashboard" sheetId="12" r:id="rId1"/>
    <sheet name="New Entry" sheetId="5" r:id="rId2"/>
    <sheet name="Sales" sheetId="7" r:id="rId3"/>
    <sheet name="Purchase" sheetId="6" r:id="rId4"/>
    <sheet name="Inventory" sheetId="8" r:id="rId5"/>
    <sheet name="Products" sheetId="2" r:id="rId6"/>
    <sheet name="Product Categories" sheetId="9" r:id="rId7"/>
    <sheet name="Customers" sheetId="3" r:id="rId8"/>
    <sheet name="Vendors" sheetId="4" r:id="rId9"/>
    <sheet name="PivotTable" sheetId="10" r:id="rId10"/>
  </sheets>
  <definedNames>
    <definedName name="_xlcn.WorksheetConnection_SalesandInventoryManagementSystem.xlsxCustomers" hidden="1">Customers[]</definedName>
    <definedName name="_xlcn.WorksheetConnection_SalesandInventoryManagementSystem.xlsxInventory" hidden="1">Inventory[]</definedName>
    <definedName name="_xlcn.WorksheetConnection_SalesandInventoryManagementSystem.xlsxOrders" hidden="1">Orders[]</definedName>
    <definedName name="_xlcn.WorksheetConnection_SalesandInventoryManagementSystem.xlsxProducts" hidden="1">Products[]</definedName>
    <definedName name="_xlcn.WorksheetConnection_SalesandInventoryManagementSystem.xlsxPurchase_Entry" hidden="1">Purchase_Entry[]</definedName>
    <definedName name="Categories">Category[Category]</definedName>
    <definedName name="Cost">Products[Cost]</definedName>
    <definedName name="Customer">Customers[Name]</definedName>
    <definedName name="Vendor_Name">Vendor[Vendor Name]</definedName>
  </definedNames>
  <calcPr calcId="191029"/>
  <pivotCaches>
    <pivotCache cacheId="36" r:id="rId11"/>
    <pivotCache cacheId="37" r:id="rId12"/>
    <pivotCache cacheId="38" r:id="rId13"/>
    <pivotCache cacheId="39" r:id="rId14"/>
    <pivotCache cacheId="40" r:id="rId15"/>
    <pivotCache cacheId="41" r:id="rId16"/>
    <pivotCache cacheId="42" r:id="rId17"/>
    <pivotCache cacheId="43" r:id="rId18"/>
    <pivotCache cacheId="44" r:id="rId19"/>
    <pivotCache cacheId="45" r:id="rId20"/>
    <pivotCache cacheId="46" r:id="rId21"/>
    <pivotCache cacheId="47" r:id="rId22"/>
    <pivotCache cacheId="48" r:id="rId23"/>
    <pivotCache cacheId="49" r:id="rId24"/>
    <pivotCache cacheId="50" r:id="rId25"/>
    <pivotCache cacheId="51" r:id="rId26"/>
    <pivotCache cacheId="52" r:id="rId27"/>
    <pivotCache cacheId="53" r:id="rId2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urchase_Entry" name="Purchase_Entry" connection="WorksheetConnection_Sales and Inventory Management System.xlsx!Purchase_Entry"/>
          <x15:modelTable id="Products" name="Products" connection="WorksheetConnection_Sales and Inventory Management System.xlsx!Products"/>
          <x15:modelTable id="Orders" name="Orders" connection="WorksheetConnection_Sales and Inventory Management System.xlsx!Orders"/>
          <x15:modelTable id="Inventory" name="Inventory" connection="WorksheetConnection_Sales and Inventory Management System.xlsx!Inventory"/>
          <x15:modelTable id="Customers" name="Customers" connection="WorksheetConnection_Sales and Inventory Management System.xlsx!Customers"/>
        </x15:modelTables>
        <x15:modelRelationships>
          <x15:modelRelationship fromTable="Orders" fromColumn="ProductID" toTable="Products" toColumn="ProductID"/>
        </x15:modelRelationships>
      </x15:dataModel>
    </ext>
  </extLst>
</workbook>
</file>

<file path=xl/calcChain.xml><?xml version="1.0" encoding="utf-8"?>
<calcChain xmlns="http://schemas.openxmlformats.org/spreadsheetml/2006/main">
  <c r="G14" i="5" l="1"/>
  <c r="I25" i="5" s="1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8" i="8"/>
  <c r="N25" i="5"/>
  <c r="L26" i="5"/>
  <c r="J26" i="5"/>
  <c r="H26" i="5"/>
  <c r="G26" i="5"/>
  <c r="F26" i="5"/>
  <c r="M16" i="5"/>
  <c r="M18" i="5" s="1"/>
  <c r="M26" i="5" s="1"/>
  <c r="G16" i="5"/>
  <c r="G18" i="5" s="1"/>
  <c r="M25" i="5" s="1"/>
  <c r="M14" i="5"/>
  <c r="I26" i="5" s="1"/>
  <c r="L50" i="3"/>
  <c r="L25" i="5"/>
  <c r="J25" i="5"/>
  <c r="H25" i="5"/>
  <c r="G25" i="5"/>
  <c r="F25" i="5"/>
  <c r="V15" i="10"/>
  <c r="V16" i="10" l="1"/>
  <c r="K52" i="8"/>
  <c r="M52" i="8" s="1"/>
  <c r="K36" i="8"/>
  <c r="M36" i="8" s="1"/>
  <c r="K28" i="8"/>
  <c r="M28" i="8" s="1"/>
  <c r="K20" i="8"/>
  <c r="M20" i="8" s="1"/>
  <c r="K12" i="8"/>
  <c r="M12" i="8" s="1"/>
  <c r="K44" i="8"/>
  <c r="M44" i="8" s="1"/>
  <c r="K53" i="8"/>
  <c r="M53" i="8" s="1"/>
  <c r="K45" i="8"/>
  <c r="M45" i="8" s="1"/>
  <c r="K37" i="8"/>
  <c r="M37" i="8" s="1"/>
  <c r="K29" i="8"/>
  <c r="M29" i="8" s="1"/>
  <c r="K21" i="8"/>
  <c r="M21" i="8" s="1"/>
  <c r="K13" i="8"/>
  <c r="M13" i="8" s="1"/>
  <c r="K39" i="8"/>
  <c r="M39" i="8" s="1"/>
  <c r="K31" i="8"/>
  <c r="M31" i="8" s="1"/>
  <c r="K23" i="8"/>
  <c r="M23" i="8" s="1"/>
  <c r="K15" i="8"/>
  <c r="M15" i="8" s="1"/>
  <c r="K47" i="8"/>
  <c r="M47" i="8" s="1"/>
  <c r="K8" i="8"/>
  <c r="M8" i="8" s="1"/>
  <c r="K46" i="8"/>
  <c r="M46" i="8" s="1"/>
  <c r="K38" i="8"/>
  <c r="M38" i="8" s="1"/>
  <c r="K30" i="8"/>
  <c r="M30" i="8" s="1"/>
  <c r="K22" i="8"/>
  <c r="M22" i="8" s="1"/>
  <c r="K14" i="8"/>
  <c r="M14" i="8" s="1"/>
  <c r="K48" i="8"/>
  <c r="M48" i="8" s="1"/>
  <c r="K40" i="8"/>
  <c r="M40" i="8" s="1"/>
  <c r="K32" i="8"/>
  <c r="M32" i="8" s="1"/>
  <c r="K24" i="8"/>
  <c r="M24" i="8" s="1"/>
  <c r="K16" i="8"/>
  <c r="M16" i="8" s="1"/>
  <c r="K34" i="8"/>
  <c r="M34" i="8" s="1"/>
  <c r="K26" i="8"/>
  <c r="M26" i="8" s="1"/>
  <c r="K18" i="8"/>
  <c r="M18" i="8" s="1"/>
  <c r="K10" i="8"/>
  <c r="M10" i="8" s="1"/>
  <c r="K27" i="8"/>
  <c r="M27" i="8" s="1"/>
  <c r="K19" i="8"/>
  <c r="M19" i="8" s="1"/>
  <c r="K50" i="8"/>
  <c r="M50" i="8" s="1"/>
  <c r="K42" i="8"/>
  <c r="M42" i="8" s="1"/>
  <c r="K41" i="8"/>
  <c r="M41" i="8" s="1"/>
  <c r="K33" i="8"/>
  <c r="M33" i="8" s="1"/>
  <c r="K25" i="8"/>
  <c r="M25" i="8" s="1"/>
  <c r="K17" i="8"/>
  <c r="M17" i="8" s="1"/>
  <c r="K9" i="8"/>
  <c r="M9" i="8" s="1"/>
  <c r="K43" i="8"/>
  <c r="M43" i="8" s="1"/>
  <c r="K11" i="8"/>
  <c r="M11" i="8" s="1"/>
  <c r="K49" i="8"/>
  <c r="M49" i="8" s="1"/>
  <c r="K35" i="8"/>
  <c r="M35" i="8" s="1"/>
  <c r="K51" i="8"/>
  <c r="M51" i="8" s="1"/>
  <c r="K26" i="5"/>
  <c r="K25" i="5"/>
  <c r="L42" i="8" l="1"/>
  <c r="L13" i="8"/>
  <c r="L46" i="8"/>
  <c r="L32" i="8"/>
  <c r="L8" i="8"/>
  <c r="L36" i="8"/>
  <c r="L27" i="8"/>
  <c r="L37" i="8"/>
  <c r="L52" i="8"/>
  <c r="L17" i="8"/>
  <c r="L10" i="8"/>
  <c r="L48" i="8"/>
  <c r="L15" i="8"/>
  <c r="L45" i="8"/>
  <c r="L25" i="8"/>
  <c r="L18" i="8"/>
  <c r="L14" i="8"/>
  <c r="L23" i="8"/>
  <c r="L53" i="8"/>
  <c r="L49" i="8"/>
  <c r="L20" i="8"/>
  <c r="L24" i="8"/>
  <c r="L19" i="8"/>
  <c r="L29" i="8"/>
  <c r="L9" i="8"/>
  <c r="L47" i="8"/>
  <c r="L51" i="8"/>
  <c r="L33" i="8"/>
  <c r="L26" i="8"/>
  <c r="L22" i="8"/>
  <c r="L31" i="8"/>
  <c r="L44" i="8"/>
  <c r="L35" i="8"/>
  <c r="L41" i="8"/>
  <c r="L34" i="8"/>
  <c r="L30" i="8"/>
  <c r="L39" i="8"/>
  <c r="L12" i="8"/>
  <c r="L38" i="8"/>
  <c r="L50" i="8"/>
  <c r="L21" i="8"/>
  <c r="L28" i="8"/>
  <c r="L16" i="8"/>
  <c r="L11" i="8"/>
  <c r="L43" i="8"/>
  <c r="L4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9D546F-7EB3-4E55-8332-C504A6F38E17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E258B54-9F28-4FED-96EA-1F43A4081F56}" name="WorksheetConnection_Sales and Inventory Management System.xlsx!Customers" type="102" refreshedVersion="7" minRefreshableVersion="5">
    <extLst>
      <ext xmlns:x15="http://schemas.microsoft.com/office/spreadsheetml/2010/11/main" uri="{DE250136-89BD-433C-8126-D09CA5730AF9}">
        <x15:connection id="Customers" autoDelete="1">
          <x15:rangePr sourceName="_xlcn.WorksheetConnection_SalesandInventoryManagementSystem.xlsxCustomers"/>
        </x15:connection>
      </ext>
    </extLst>
  </connection>
  <connection id="3" xr16:uid="{20AADBCB-CB72-4B36-B1E9-33890D7CEC7D}" name="WorksheetConnection_Sales and Inventory Management System.xlsx!Inventory" type="102" refreshedVersion="7" minRefreshableVersion="5">
    <extLst>
      <ext xmlns:x15="http://schemas.microsoft.com/office/spreadsheetml/2010/11/main" uri="{DE250136-89BD-433C-8126-D09CA5730AF9}">
        <x15:connection id="Inventory">
          <x15:rangePr sourceName="_xlcn.WorksheetConnection_SalesandInventoryManagementSystem.xlsxInventory"/>
        </x15:connection>
      </ext>
    </extLst>
  </connection>
  <connection id="4" xr16:uid="{43BADDC0-C75F-4ADF-BB29-6B8967D4CD7D}" name="WorksheetConnection_Sales and Inventory Management System.xlsx!Orders" type="102" refreshedVersion="7" minRefreshableVersion="5">
    <extLst>
      <ext xmlns:x15="http://schemas.microsoft.com/office/spreadsheetml/2010/11/main" uri="{DE250136-89BD-433C-8126-D09CA5730AF9}">
        <x15:connection id="Orders">
          <x15:rangePr sourceName="_xlcn.WorksheetConnection_SalesandInventoryManagementSystem.xlsxOrders"/>
        </x15:connection>
      </ext>
    </extLst>
  </connection>
  <connection id="5" xr16:uid="{5F4322B3-C004-49C7-8636-8A19F2F7808A}" name="WorksheetConnection_Sales and Inventory Management System.xlsx!Products" type="102" refreshedVersion="7" minRefreshableVersion="5">
    <extLst>
      <ext xmlns:x15="http://schemas.microsoft.com/office/spreadsheetml/2010/11/main" uri="{DE250136-89BD-433C-8126-D09CA5730AF9}">
        <x15:connection id="Products">
          <x15:rangePr sourceName="_xlcn.WorksheetConnection_SalesandInventoryManagementSystem.xlsxProducts"/>
        </x15:connection>
      </ext>
    </extLst>
  </connection>
  <connection id="6" xr16:uid="{A951DACA-7096-4D19-B5BF-378E2A239892}" name="WorksheetConnection_Sales and Inventory Management System.xlsx!Purchase_Entry" type="102" refreshedVersion="7" minRefreshableVersion="5">
    <extLst>
      <ext xmlns:x15="http://schemas.microsoft.com/office/spreadsheetml/2010/11/main" uri="{DE250136-89BD-433C-8126-D09CA5730AF9}">
        <x15:connection id="Purchase_Entry">
          <x15:rangePr sourceName="_xlcn.WorksheetConnection_SalesandInventoryManagementSystem.xlsxPurchase_Entry"/>
        </x15:connection>
      </ext>
    </extLst>
  </connection>
</connections>
</file>

<file path=xl/sharedStrings.xml><?xml version="1.0" encoding="utf-8"?>
<sst xmlns="http://schemas.openxmlformats.org/spreadsheetml/2006/main" count="1639" uniqueCount="258">
  <si>
    <t>ProductID</t>
  </si>
  <si>
    <t>Product</t>
  </si>
  <si>
    <t>Category</t>
  </si>
  <si>
    <t>Executive Journal</t>
  </si>
  <si>
    <t>Journal</t>
  </si>
  <si>
    <t>Strap Journal</t>
  </si>
  <si>
    <t>Styllus Pen Journal</t>
  </si>
  <si>
    <t>Leather Journal</t>
  </si>
  <si>
    <t>Two Toned Journal</t>
  </si>
  <si>
    <t>Durian Cup</t>
  </si>
  <si>
    <t>Cups</t>
  </si>
  <si>
    <t>Libby Cup</t>
  </si>
  <si>
    <t>Mirror Mug</t>
  </si>
  <si>
    <t>Ice Cup</t>
  </si>
  <si>
    <t>Insulated Tumbler</t>
  </si>
  <si>
    <t>3in1 Tumbler</t>
  </si>
  <si>
    <t>Mason Jar</t>
  </si>
  <si>
    <t>Hoho Cup</t>
  </si>
  <si>
    <t>Candy bottle</t>
  </si>
  <si>
    <t>Waterbottles</t>
  </si>
  <si>
    <t>Gym Bottle</t>
  </si>
  <si>
    <t>Infuser Bottle</t>
  </si>
  <si>
    <t>Stainless Steel Bottle</t>
  </si>
  <si>
    <t>Matte Flask</t>
  </si>
  <si>
    <t>Thermal Flask</t>
  </si>
  <si>
    <t>Temperature Flask</t>
  </si>
  <si>
    <t>Oval Flask</t>
  </si>
  <si>
    <t>Manicure Set</t>
  </si>
  <si>
    <t>Jewellry &amp; Accessories</t>
  </si>
  <si>
    <t>Comb Set</t>
  </si>
  <si>
    <t>Bracelet</t>
  </si>
  <si>
    <t>Beaded Bracelet</t>
  </si>
  <si>
    <t>Necklace</t>
  </si>
  <si>
    <t>Wallet</t>
  </si>
  <si>
    <t>2in1 Towel</t>
  </si>
  <si>
    <t>Scrunchies</t>
  </si>
  <si>
    <t>Headband</t>
  </si>
  <si>
    <t>Shade</t>
  </si>
  <si>
    <t>Male Watch</t>
  </si>
  <si>
    <t>Female Watch</t>
  </si>
  <si>
    <t>Face Cap</t>
  </si>
  <si>
    <t>Jewellry Storage Box</t>
  </si>
  <si>
    <t>Cufflinks</t>
  </si>
  <si>
    <t>Card Holder</t>
  </si>
  <si>
    <t>Stationeries</t>
  </si>
  <si>
    <t>Pen</t>
  </si>
  <si>
    <t>Hair Clipper</t>
  </si>
  <si>
    <t>Appliances</t>
  </si>
  <si>
    <t>Hair Straightner</t>
  </si>
  <si>
    <t>Mini Iron</t>
  </si>
  <si>
    <t>Rechargeable Blender</t>
  </si>
  <si>
    <t>Rechargeable Fan</t>
  </si>
  <si>
    <t>Bracelet Box</t>
  </si>
  <si>
    <t>Packaging Materials</t>
  </si>
  <si>
    <t>Jewellry Box</t>
  </si>
  <si>
    <t>Gift Bag</t>
  </si>
  <si>
    <t>Gift Box</t>
  </si>
  <si>
    <t>Cost</t>
  </si>
  <si>
    <t>Price</t>
  </si>
  <si>
    <t>CustomerID</t>
  </si>
  <si>
    <t>Name</t>
  </si>
  <si>
    <t>Phone Number</t>
  </si>
  <si>
    <t>Address</t>
  </si>
  <si>
    <t>080XXXXXXXX</t>
  </si>
  <si>
    <t>081XXXXXXXX</t>
  </si>
  <si>
    <t>091XXXXXXXX</t>
  </si>
  <si>
    <t>070XXXXXXXX</t>
  </si>
  <si>
    <t>Lagos</t>
  </si>
  <si>
    <t>Benue</t>
  </si>
  <si>
    <t>Oyo</t>
  </si>
  <si>
    <t>Delta</t>
  </si>
  <si>
    <t>Benin</t>
  </si>
  <si>
    <t>Ogun</t>
  </si>
  <si>
    <t>Osun</t>
  </si>
  <si>
    <t>Ilorin</t>
  </si>
  <si>
    <t>Oshogbo</t>
  </si>
  <si>
    <t>Uyo</t>
  </si>
  <si>
    <t>Anambra</t>
  </si>
  <si>
    <t>Abuja</t>
  </si>
  <si>
    <t>Edo</t>
  </si>
  <si>
    <t>CUS001</t>
  </si>
  <si>
    <t>CUS002</t>
  </si>
  <si>
    <t>CUS003</t>
  </si>
  <si>
    <t>CUS004</t>
  </si>
  <si>
    <t>CUS005</t>
  </si>
  <si>
    <t>CUS006</t>
  </si>
  <si>
    <t>CUS007</t>
  </si>
  <si>
    <t>CUS008</t>
  </si>
  <si>
    <t>CUS009</t>
  </si>
  <si>
    <t>CUS010</t>
  </si>
  <si>
    <t>CUS011</t>
  </si>
  <si>
    <t>CUS012</t>
  </si>
  <si>
    <t>CUS013</t>
  </si>
  <si>
    <t>CUS014</t>
  </si>
  <si>
    <t>CUS015</t>
  </si>
  <si>
    <t>CUS016</t>
  </si>
  <si>
    <t>CUS017</t>
  </si>
  <si>
    <t>CUS018</t>
  </si>
  <si>
    <t>CUS019</t>
  </si>
  <si>
    <t>CUS020</t>
  </si>
  <si>
    <t>CUS021</t>
  </si>
  <si>
    <t>CUS022</t>
  </si>
  <si>
    <t>CUS023</t>
  </si>
  <si>
    <t>CUS024</t>
  </si>
  <si>
    <t>CUS025</t>
  </si>
  <si>
    <t>CUS026</t>
  </si>
  <si>
    <t>CUS027</t>
  </si>
  <si>
    <t>CUS028</t>
  </si>
  <si>
    <t>CUS029</t>
  </si>
  <si>
    <t>CUS030</t>
  </si>
  <si>
    <t>CUS031</t>
  </si>
  <si>
    <t>CUS032</t>
  </si>
  <si>
    <t>CUS033</t>
  </si>
  <si>
    <t>CUS034</t>
  </si>
  <si>
    <t>CUS035</t>
  </si>
  <si>
    <t>CUS036</t>
  </si>
  <si>
    <t>CUS037</t>
  </si>
  <si>
    <t>CUS038</t>
  </si>
  <si>
    <t>Adebisi Mariam</t>
  </si>
  <si>
    <t>Uchenna Amadi</t>
  </si>
  <si>
    <t>Jumoke Victoria</t>
  </si>
  <si>
    <t>Aanu Fadekemi</t>
  </si>
  <si>
    <t>Rachael Adams</t>
  </si>
  <si>
    <t>Elizabeth Tosin</t>
  </si>
  <si>
    <t>VendorID</t>
  </si>
  <si>
    <t>Vendor Name</t>
  </si>
  <si>
    <t>Vendor</t>
  </si>
  <si>
    <t>Date</t>
  </si>
  <si>
    <t>Quantity</t>
  </si>
  <si>
    <t>Total Cost</t>
  </si>
  <si>
    <t>Customer</t>
  </si>
  <si>
    <t>Amount</t>
  </si>
  <si>
    <t>Thermal_Flask</t>
  </si>
  <si>
    <t>Jewellry_Accessories</t>
  </si>
  <si>
    <t>Packaging_Materials</t>
  </si>
  <si>
    <t>PRD001</t>
  </si>
  <si>
    <t>PRD002</t>
  </si>
  <si>
    <t>PRD003</t>
  </si>
  <si>
    <t>PRD004</t>
  </si>
  <si>
    <t>PRD005</t>
  </si>
  <si>
    <t>PRD006</t>
  </si>
  <si>
    <t>PRD007</t>
  </si>
  <si>
    <t>PRD008</t>
  </si>
  <si>
    <t>PRD009</t>
  </si>
  <si>
    <t>PRD010</t>
  </si>
  <si>
    <t>PRD011</t>
  </si>
  <si>
    <t>PRD012</t>
  </si>
  <si>
    <t>PRD013</t>
  </si>
  <si>
    <t>PRD014</t>
  </si>
  <si>
    <t>PRD015</t>
  </si>
  <si>
    <t>PRD016</t>
  </si>
  <si>
    <t>PRD017</t>
  </si>
  <si>
    <t>PRD018</t>
  </si>
  <si>
    <t>PRD019</t>
  </si>
  <si>
    <t>PRD020</t>
  </si>
  <si>
    <t>PRD021</t>
  </si>
  <si>
    <t>PRD022</t>
  </si>
  <si>
    <t>PRD023</t>
  </si>
  <si>
    <t>PRD024</t>
  </si>
  <si>
    <t>PRD025</t>
  </si>
  <si>
    <t>PRD026</t>
  </si>
  <si>
    <t>PRD027</t>
  </si>
  <si>
    <t>PRD028</t>
  </si>
  <si>
    <t>PRD029</t>
  </si>
  <si>
    <t>PRD030</t>
  </si>
  <si>
    <t>PRD031</t>
  </si>
  <si>
    <t>PRD032</t>
  </si>
  <si>
    <t>PRD033</t>
  </si>
  <si>
    <t>PRD034</t>
  </si>
  <si>
    <t>PRD035</t>
  </si>
  <si>
    <t>PRD036</t>
  </si>
  <si>
    <t>PRD037</t>
  </si>
  <si>
    <t>PRD038</t>
  </si>
  <si>
    <t>PRD039</t>
  </si>
  <si>
    <t>PRD040</t>
  </si>
  <si>
    <t>PRD041</t>
  </si>
  <si>
    <t>PRD042</t>
  </si>
  <si>
    <t>PRD043</t>
  </si>
  <si>
    <t>PRD044</t>
  </si>
  <si>
    <t>PRD045</t>
  </si>
  <si>
    <t>PRD046</t>
  </si>
  <si>
    <t>Tolu Adeyemi</t>
  </si>
  <si>
    <t>Chinedu Okafor</t>
  </si>
  <si>
    <t>Aminat Balogun</t>
  </si>
  <si>
    <t>Emeka Nwosu</t>
  </si>
  <si>
    <t>Zainab Bello</t>
  </si>
  <si>
    <t>Olumide Adebayo</t>
  </si>
  <si>
    <t>Efe Okoro</t>
  </si>
  <si>
    <t>Kemi Ogunleye</t>
  </si>
  <si>
    <t>Ifeanyi Eze</t>
  </si>
  <si>
    <t>Bolu Alabi</t>
  </si>
  <si>
    <t>Aisha Mohammed</t>
  </si>
  <si>
    <t>Chisom Uche</t>
  </si>
  <si>
    <t>Femi Olagunju</t>
  </si>
  <si>
    <t>Seyi Onyekachi</t>
  </si>
  <si>
    <t>Hauwa Danjuma</t>
  </si>
  <si>
    <t>Yetunde Adetokunbo</t>
  </si>
  <si>
    <t>Ebuka Nwachukwu</t>
  </si>
  <si>
    <t>Mariam Suleiman</t>
  </si>
  <si>
    <t>Segun Akinyemi</t>
  </si>
  <si>
    <t>Adaeze Nnamdi</t>
  </si>
  <si>
    <t>Ibrahim Mustapha</t>
  </si>
  <si>
    <t>Funke Ajibade</t>
  </si>
  <si>
    <t>Kunle Osundare</t>
  </si>
  <si>
    <t>Blessing Ikenna</t>
  </si>
  <si>
    <t>Rotimi Akinlade</t>
  </si>
  <si>
    <t>Nneka Ekwueme</t>
  </si>
  <si>
    <t>Yusuf Lawal</t>
  </si>
  <si>
    <t>Chioma Obinna</t>
  </si>
  <si>
    <t>Babatunde Fashola</t>
  </si>
  <si>
    <t>Adebola Oyetunde</t>
  </si>
  <si>
    <t>Ebere Glory</t>
  </si>
  <si>
    <t>Femi Olayemi</t>
  </si>
  <si>
    <t>Ajoke Gold</t>
  </si>
  <si>
    <t>0813XXXXXXX</t>
  </si>
  <si>
    <t>0804XXXXXXX</t>
  </si>
  <si>
    <t>0816XXXXXXX</t>
  </si>
  <si>
    <t>0900XXXXXXX</t>
  </si>
  <si>
    <t>0809XXXXXXX</t>
  </si>
  <si>
    <t>Destimola Ventures</t>
  </si>
  <si>
    <t>M&amp;K Enterprises</t>
  </si>
  <si>
    <t>Akinlolu Gifts</t>
  </si>
  <si>
    <t>Godswill Bookshop</t>
  </si>
  <si>
    <t>VEND001</t>
  </si>
  <si>
    <t>VEND002</t>
  </si>
  <si>
    <t>VEND003</t>
  </si>
  <si>
    <t>VEND004</t>
  </si>
  <si>
    <t>VEND005</t>
  </si>
  <si>
    <t>Sales Channel</t>
  </si>
  <si>
    <t>Tiktok</t>
  </si>
  <si>
    <t>WhatsApp</t>
  </si>
  <si>
    <t>Purchase Units</t>
  </si>
  <si>
    <t>Sales Units</t>
  </si>
  <si>
    <t>Stock</t>
  </si>
  <si>
    <t>Stock Amount</t>
  </si>
  <si>
    <t>Customers</t>
  </si>
  <si>
    <t>Products</t>
  </si>
  <si>
    <t>Total Sales</t>
  </si>
  <si>
    <t>Profit/Loss</t>
  </si>
  <si>
    <t>KPIS</t>
  </si>
  <si>
    <t>Best Sellers</t>
  </si>
  <si>
    <t>Sales by Sales Channel</t>
  </si>
  <si>
    <t>Sales</t>
  </si>
  <si>
    <t>Sales Trend</t>
  </si>
  <si>
    <t>Products to be restocked</t>
  </si>
  <si>
    <t>Total Purchase Units</t>
  </si>
  <si>
    <t>Total Stock</t>
  </si>
  <si>
    <t>Instagram</t>
  </si>
  <si>
    <t>Offline</t>
  </si>
  <si>
    <t>Products with no Sales</t>
  </si>
  <si>
    <t>Least Selling Products</t>
  </si>
  <si>
    <t>OutofStock</t>
  </si>
  <si>
    <t>ProfitMargin</t>
  </si>
  <si>
    <t>Remaining</t>
  </si>
  <si>
    <t>Hidden Slice</t>
  </si>
  <si>
    <t>Remark</t>
  </si>
  <si>
    <t xml:space="preserve">WoW Growth (%) </t>
  </si>
  <si>
    <t>MoM Growth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</si>
</sst>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[$-409]d\-mmm;@"/>
    <numFmt numFmtId="167" formatCode="_-\₦#.0,&quot;K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6EFFB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0" fillId="4" borderId="0" xfId="0" applyFill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2" borderId="0" xfId="0" applyFont="1" applyFill="1"/>
    <xf numFmtId="164" fontId="0" fillId="3" borderId="1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5" fontId="0" fillId="4" borderId="0" xfId="1" applyNumberFormat="1" applyFont="1" applyFill="1"/>
    <xf numFmtId="0" fontId="0" fillId="3" borderId="2" xfId="1" applyNumberFormat="1" applyFont="1" applyFill="1" applyBorder="1" applyAlignment="1">
      <alignment horizontal="center"/>
    </xf>
    <xf numFmtId="0" fontId="0" fillId="3" borderId="3" xfId="1" applyNumberFormat="1" applyFont="1" applyFill="1" applyBorder="1" applyAlignment="1">
      <alignment horizontal="center"/>
    </xf>
    <xf numFmtId="0" fontId="0" fillId="4" borderId="0" xfId="1" applyNumberFormat="1" applyFont="1" applyFill="1" applyAlignment="1">
      <alignment horizontal="center"/>
    </xf>
    <xf numFmtId="0" fontId="0" fillId="4" borderId="0" xfId="0" applyFill="1" applyBorder="1"/>
    <xf numFmtId="164" fontId="0" fillId="4" borderId="0" xfId="0" applyNumberFormat="1" applyFill="1"/>
    <xf numFmtId="0" fontId="2" fillId="4" borderId="0" xfId="0" applyFont="1" applyFill="1"/>
    <xf numFmtId="0" fontId="0" fillId="3" borderId="3" xfId="0" applyFill="1" applyBorder="1" applyAlignment="1">
      <alignment horizontal="center"/>
    </xf>
    <xf numFmtId="0" fontId="4" fillId="4" borderId="0" xfId="0" applyFont="1" applyFill="1"/>
    <xf numFmtId="0" fontId="0" fillId="3" borderId="8" xfId="1" applyNumberFormat="1" applyFont="1" applyFill="1" applyBorder="1" applyAlignment="1">
      <alignment horizontal="center"/>
    </xf>
    <xf numFmtId="164" fontId="0" fillId="4" borderId="0" xfId="0" applyNumberFormat="1" applyFont="1" applyFill="1"/>
    <xf numFmtId="0" fontId="0" fillId="4" borderId="0" xfId="0" applyFont="1" applyFill="1"/>
    <xf numFmtId="164" fontId="2" fillId="2" borderId="0" xfId="0" applyNumberFormat="1" applyFont="1" applyFill="1"/>
    <xf numFmtId="165" fontId="0" fillId="4" borderId="7" xfId="1" applyNumberFormat="1" applyFont="1" applyFill="1" applyBorder="1"/>
    <xf numFmtId="0" fontId="0" fillId="2" borderId="0" xfId="0" applyFill="1"/>
    <xf numFmtId="0" fontId="0" fillId="0" borderId="0" xfId="0" applyNumberFormat="1"/>
    <xf numFmtId="0" fontId="0" fillId="0" borderId="0" xfId="0" pivotButton="1"/>
    <xf numFmtId="165" fontId="0" fillId="4" borderId="0" xfId="0" applyNumberFormat="1" applyFill="1"/>
    <xf numFmtId="0" fontId="0" fillId="0" borderId="0" xfId="0" applyAlignment="1">
      <alignment horizontal="left"/>
    </xf>
    <xf numFmtId="0" fontId="7" fillId="0" borderId="0" xfId="0" applyFont="1"/>
    <xf numFmtId="164" fontId="4" fillId="4" borderId="0" xfId="0" applyNumberFormat="1" applyFont="1" applyFill="1"/>
    <xf numFmtId="0" fontId="0" fillId="0" borderId="0" xfId="0" applyFill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2" fontId="0" fillId="0" borderId="0" xfId="0" applyNumberFormat="1"/>
    <xf numFmtId="10" fontId="0" fillId="0" borderId="0" xfId="0" applyNumberFormat="1"/>
    <xf numFmtId="164" fontId="8" fillId="4" borderId="0" xfId="0" applyNumberFormat="1" applyFont="1" applyFill="1" applyBorder="1"/>
    <xf numFmtId="0" fontId="8" fillId="4" borderId="0" xfId="1" applyNumberFormat="1" applyFont="1" applyFill="1" applyAlignment="1">
      <alignment horizontal="center"/>
    </xf>
    <xf numFmtId="0" fontId="8" fillId="4" borderId="0" xfId="0" applyFont="1" applyFill="1"/>
    <xf numFmtId="0" fontId="6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91">
    <dxf>
      <numFmt numFmtId="166" formatCode="[$-409]d\-mmm;@"/>
    </dxf>
    <dxf>
      <numFmt numFmtId="166" formatCode="[$-409]d\-mmm;@"/>
    </dxf>
    <dxf>
      <numFmt numFmtId="2" formatCode="0.00"/>
    </dxf>
    <dxf>
      <numFmt numFmtId="167" formatCode="_-\₦#.0,&quot;K&quot;"/>
    </dxf>
    <dxf>
      <numFmt numFmtId="167" formatCode="_-\₦#.0,&quot;K&quot;"/>
    </dxf>
    <dxf>
      <numFmt numFmtId="167" formatCode="_-\₦#.0,&quot;K&quot;"/>
    </dxf>
    <dxf>
      <numFmt numFmtId="168" formatCode="_-[$₦-46A]* #,##0_-;\-[$₦-46A]* #,##0_-;_-[$₦-46A]* &quot;-&quot;_-;_-@_-"/>
    </dxf>
    <dxf>
      <numFmt numFmtId="14" formatCode="0.00%"/>
    </dxf>
    <dxf>
      <numFmt numFmtId="2" formatCode="0.00"/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numFmt numFmtId="165" formatCode="_(* #,##0_);_(* \(#,##0\);_(* &quot;-&quot;??_);_(@_)"/>
      <fill>
        <patternFill patternType="solid">
          <fgColor indexed="64"/>
          <bgColor theme="2" tint="-9.9978637043366805E-2"/>
        </patternFill>
      </fill>
    </dxf>
    <dxf>
      <numFmt numFmtId="165" formatCode="_(* #,##0_);_(* \(#,##0\);_(* &quot;-&quot;??_);_(@_)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ont>
        <color theme="7" tint="-0.499984740745262"/>
      </font>
    </dxf>
    <dxf>
      <font>
        <color rgb="FF00B05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numFmt numFmtId="164" formatCode="[$-409]d\-mmm\-yy;@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</dxfs>
  <tableStyles count="0" defaultTableStyle="TableStyleMedium2" defaultPivotStyle="PivotStyleLight16"/>
  <colors>
    <mruColors>
      <color rgb="FF348E2A"/>
      <color rgb="FFF6EFFB"/>
      <color rgb="FFE4D2F2"/>
      <color rgb="FFAE78D6"/>
      <color rgb="FF7030A0"/>
      <color rgb="FFCC9900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8.xml"/><Relationship Id="rId26" Type="http://schemas.openxmlformats.org/officeDocument/2006/relationships/pivotCacheDefinition" Target="pivotCache/pivotCacheDefinition1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pivotCacheDefinition" Target="pivotCache/pivotCacheDefinition15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pivotCacheDefinition" Target="pivotCache/pivotCacheDefinition1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pivotCacheDefinition" Target="pivotCache/pivotCacheDefinition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CacheDefinition" Target="pivotCache/pivotCacheDefinition13.xml"/><Relationship Id="rId28" Type="http://schemas.openxmlformats.org/officeDocument/2006/relationships/pivotCacheDefinition" Target="pivotCache/pivotCacheDefinition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pivotCacheDefinition" Target="pivotCache/pivotCacheDefinition12.xml"/><Relationship Id="rId27" Type="http://schemas.openxmlformats.org/officeDocument/2006/relationships/pivotCacheDefinition" Target="pivotCache/pivotCacheDefinition1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System.xlsm]PivotTable!PivotTable13</c:name>
    <c:fmtId val="3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AE78D6"/>
              </a:gs>
              <a:gs pos="83000">
                <a:srgbClr val="AE78D6"/>
              </a:gs>
              <a:gs pos="100000">
                <a:srgbClr val="AE78D6"/>
              </a:gs>
            </a:gsLst>
            <a:lin ang="135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AE78D6"/>
              </a:gs>
              <a:gs pos="83000">
                <a:srgbClr val="AE78D6"/>
              </a:gs>
              <a:gs pos="100000">
                <a:srgbClr val="AE78D6"/>
              </a:gs>
            </a:gsLst>
            <a:lin ang="135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AE78D6"/>
              </a:gs>
              <a:gs pos="83000">
                <a:srgbClr val="AE78D6"/>
              </a:gs>
              <a:gs pos="100000">
                <a:srgbClr val="AE78D6"/>
              </a:gs>
            </a:gsLst>
            <a:lin ang="13500000" scaled="1"/>
            <a:tileRect/>
          </a:gradFill>
          <a:ln>
            <a:solidFill>
              <a:schemeClr val="bg2">
                <a:lumMod val="9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PivotTable!$F$6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rgbClr val="AE78D6"/>
                </a:gs>
                <a:gs pos="83000">
                  <a:srgbClr val="AE78D6"/>
                </a:gs>
                <a:gs pos="100000">
                  <a:srgbClr val="AE78D6"/>
                </a:gs>
              </a:gsLst>
              <a:lin ang="13500000" scaled="1"/>
              <a:tileRect/>
            </a:gra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strRef>
              <c:f>PivotTable!$E$7:$E$33</c:f>
              <c:strCache>
                <c:ptCount val="27"/>
                <c:pt idx="0">
                  <c:v>1/2/2025</c:v>
                </c:pt>
                <c:pt idx="1">
                  <c:v>1/3/2025</c:v>
                </c:pt>
                <c:pt idx="2">
                  <c:v>1/4/2025</c:v>
                </c:pt>
                <c:pt idx="3">
                  <c:v>1/6/2025</c:v>
                </c:pt>
                <c:pt idx="4">
                  <c:v>1/7/2025</c:v>
                </c:pt>
                <c:pt idx="5">
                  <c:v>1/9/2025</c:v>
                </c:pt>
                <c:pt idx="6">
                  <c:v>1/10/2025</c:v>
                </c:pt>
                <c:pt idx="7">
                  <c:v>1/11/2025</c:v>
                </c:pt>
                <c:pt idx="8">
                  <c:v>1/12/2025</c:v>
                </c:pt>
                <c:pt idx="9">
                  <c:v>1/13/2025</c:v>
                </c:pt>
                <c:pt idx="10">
                  <c:v>1/14/2025</c:v>
                </c:pt>
                <c:pt idx="11">
                  <c:v>1/15/2025</c:v>
                </c:pt>
                <c:pt idx="12">
                  <c:v>1/16/2025</c:v>
                </c:pt>
                <c:pt idx="13">
                  <c:v>1/17/2025</c:v>
                </c:pt>
                <c:pt idx="14">
                  <c:v>1/18/2025</c:v>
                </c:pt>
                <c:pt idx="15">
                  <c:v>1/19/2025</c:v>
                </c:pt>
                <c:pt idx="16">
                  <c:v>1/20/2025</c:v>
                </c:pt>
                <c:pt idx="17">
                  <c:v>1/21/2025</c:v>
                </c:pt>
                <c:pt idx="18">
                  <c:v>1/22/2025</c:v>
                </c:pt>
                <c:pt idx="19">
                  <c:v>1/23/2025</c:v>
                </c:pt>
                <c:pt idx="20">
                  <c:v>1/24/2025</c:v>
                </c:pt>
                <c:pt idx="21">
                  <c:v>1/25/2025</c:v>
                </c:pt>
                <c:pt idx="22">
                  <c:v>1/27/2025</c:v>
                </c:pt>
                <c:pt idx="23">
                  <c:v>1/28/2025</c:v>
                </c:pt>
                <c:pt idx="24">
                  <c:v>1/29/2025</c:v>
                </c:pt>
                <c:pt idx="25">
                  <c:v>1/30/2025</c:v>
                </c:pt>
                <c:pt idx="26">
                  <c:v>1/31/2025</c:v>
                </c:pt>
              </c:strCache>
            </c:strRef>
          </c:cat>
          <c:val>
            <c:numRef>
              <c:f>PivotTable!$F$7:$F$33</c:f>
              <c:numCache>
                <c:formatCode>General</c:formatCode>
                <c:ptCount val="27"/>
                <c:pt idx="0">
                  <c:v>60500</c:v>
                </c:pt>
                <c:pt idx="1">
                  <c:v>7500</c:v>
                </c:pt>
                <c:pt idx="2">
                  <c:v>17500</c:v>
                </c:pt>
                <c:pt idx="3">
                  <c:v>46000</c:v>
                </c:pt>
                <c:pt idx="4">
                  <c:v>6000</c:v>
                </c:pt>
                <c:pt idx="5">
                  <c:v>38500</c:v>
                </c:pt>
                <c:pt idx="6">
                  <c:v>10500</c:v>
                </c:pt>
                <c:pt idx="7">
                  <c:v>32500</c:v>
                </c:pt>
                <c:pt idx="8">
                  <c:v>7500</c:v>
                </c:pt>
                <c:pt idx="9">
                  <c:v>36500</c:v>
                </c:pt>
                <c:pt idx="10">
                  <c:v>9000</c:v>
                </c:pt>
                <c:pt idx="11">
                  <c:v>15000</c:v>
                </c:pt>
                <c:pt idx="12">
                  <c:v>11000</c:v>
                </c:pt>
                <c:pt idx="13">
                  <c:v>5000</c:v>
                </c:pt>
                <c:pt idx="14">
                  <c:v>55000</c:v>
                </c:pt>
                <c:pt idx="15">
                  <c:v>44000</c:v>
                </c:pt>
                <c:pt idx="16">
                  <c:v>23000</c:v>
                </c:pt>
                <c:pt idx="17">
                  <c:v>61000</c:v>
                </c:pt>
                <c:pt idx="18">
                  <c:v>56500</c:v>
                </c:pt>
                <c:pt idx="19">
                  <c:v>35500</c:v>
                </c:pt>
                <c:pt idx="20">
                  <c:v>28000</c:v>
                </c:pt>
                <c:pt idx="21">
                  <c:v>26000</c:v>
                </c:pt>
                <c:pt idx="22">
                  <c:v>24000</c:v>
                </c:pt>
                <c:pt idx="23">
                  <c:v>33000</c:v>
                </c:pt>
                <c:pt idx="24">
                  <c:v>45500</c:v>
                </c:pt>
                <c:pt idx="25">
                  <c:v>51000</c:v>
                </c:pt>
                <c:pt idx="26">
                  <c:v>41500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8-4A77-8AA4-0E5043797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482159"/>
        <c:axId val="757482575"/>
      </c:areaChart>
      <c:catAx>
        <c:axId val="757482159"/>
        <c:scaling>
          <c:orientation val="minMax"/>
        </c:scaling>
        <c:delete val="1"/>
        <c:axPos val="b"/>
        <c:numFmt formatCode="[$-409]d\-mmm;@" sourceLinked="0"/>
        <c:majorTickMark val="none"/>
        <c:minorTickMark val="none"/>
        <c:tickLblPos val="nextTo"/>
        <c:crossAx val="757482575"/>
        <c:crosses val="autoZero"/>
        <c:auto val="1"/>
        <c:lblAlgn val="ctr"/>
        <c:lblOffset val="100"/>
        <c:noMultiLvlLbl val="0"/>
      </c:catAx>
      <c:valAx>
        <c:axId val="7574825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74821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28998582569375"/>
          <c:y val="0"/>
          <c:w val="0.74028359391421039"/>
          <c:h val="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bg2">
                    <a:lumMod val="9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45-4EF1-A565-9A2B2657FC21}"/>
              </c:ext>
            </c:extLst>
          </c:dPt>
          <c:dPt>
            <c:idx val="1"/>
            <c:bubble3D val="0"/>
            <c:spPr>
              <a:solidFill>
                <a:srgbClr val="E4D2F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45-4EF1-A565-9A2B2657FC2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D45-4EF1-A565-9A2B2657FC21}"/>
              </c:ext>
            </c:extLst>
          </c:dPt>
          <c:cat>
            <c:strRef>
              <c:f>PivotTable!$U$15:$U$17</c:f>
              <c:strCache>
                <c:ptCount val="3"/>
                <c:pt idx="0">
                  <c:v>ProfitMargin</c:v>
                </c:pt>
                <c:pt idx="1">
                  <c:v>Remaining</c:v>
                </c:pt>
                <c:pt idx="2">
                  <c:v>Hidden Slice</c:v>
                </c:pt>
              </c:strCache>
            </c:strRef>
          </c:cat>
          <c:val>
            <c:numRef>
              <c:f>PivotTable!$V$15:$V$17</c:f>
              <c:numCache>
                <c:formatCode>General</c:formatCode>
                <c:ptCount val="3"/>
                <c:pt idx="0">
                  <c:v>41.934703748488509</c:v>
                </c:pt>
                <c:pt idx="1">
                  <c:v>58.065296251511491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45-4EF1-A565-9A2B2657F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System.xlsm]PivotTable!PivotTable7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CC99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AE78D6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E4D2F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CC99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AE78D6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E4D2F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CC990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AE78D6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E4D2F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PivotTable!$M$6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20-4C93-ABC6-FF8F08E7B3D7}"/>
              </c:ext>
            </c:extLst>
          </c:dPt>
          <c:dPt>
            <c:idx val="1"/>
            <c:bubble3D val="0"/>
            <c:spPr>
              <a:solidFill>
                <a:srgbClr val="CC99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20-4C93-ABC6-FF8F08E7B3D7}"/>
              </c:ext>
            </c:extLst>
          </c:dPt>
          <c:dPt>
            <c:idx val="2"/>
            <c:bubble3D val="0"/>
            <c:spPr>
              <a:solidFill>
                <a:srgbClr val="AE78D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20-4C93-ABC6-FF8F08E7B3D7}"/>
              </c:ext>
            </c:extLst>
          </c:dPt>
          <c:dPt>
            <c:idx val="3"/>
            <c:bubble3D val="0"/>
            <c:spPr>
              <a:solidFill>
                <a:srgbClr val="E4D2F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20-4C93-ABC6-FF8F08E7B3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PivotTable!$L$7:$L$10</c:f>
              <c:strCache>
                <c:ptCount val="4"/>
                <c:pt idx="0">
                  <c:v>Tiktok</c:v>
                </c:pt>
                <c:pt idx="1">
                  <c:v>WhatsApp</c:v>
                </c:pt>
                <c:pt idx="2">
                  <c:v>Instagram</c:v>
                </c:pt>
                <c:pt idx="3">
                  <c:v>Offline</c:v>
                </c:pt>
              </c:strCache>
            </c:strRef>
          </c:cat>
          <c:val>
            <c:numRef>
              <c:f>PivotTable!$M$7:$M$10</c:f>
              <c:numCache>
                <c:formatCode>General</c:formatCode>
                <c:ptCount val="4"/>
                <c:pt idx="0">
                  <c:v>573000</c:v>
                </c:pt>
                <c:pt idx="1">
                  <c:v>159500</c:v>
                </c:pt>
                <c:pt idx="2">
                  <c:v>83000</c:v>
                </c:pt>
                <c:pt idx="3">
                  <c:v>11500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20-4C93-ABC6-FF8F08E7B3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System.xlsm]PivotTable!PivotTable10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4D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E4D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4D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5503875968992248E-2"/>
          <c:y val="7.3925178366788715E-3"/>
          <c:w val="0.98449612403100772"/>
          <c:h val="0.992607482163321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PivotTable!$S$6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PivotTable!$S$7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PivotTable!$S$7</c:f>
              <c:numCache>
                <c:formatCode>General</c:formatCode>
                <c:ptCount val="1"/>
                <c:pt idx="0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A-42E0-9A60-CF8499181213}"/>
            </c:ext>
          </c:extLst>
        </c:ser>
        <c:ser>
          <c:idx val="1"/>
          <c:order val="1"/>
          <c:tx>
            <c:strRef>
              <c:f>PivotTable!$T$6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E4D2F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PivotTable!$S$7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PivotTable!$T$7</c:f>
              <c:numCache>
                <c:formatCode>General</c:formatCode>
                <c:ptCount val="1"/>
                <c:pt idx="0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8A-42E0-9A60-CF8499181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7"/>
        <c:overlap val="-32"/>
        <c:axId val="1766439055"/>
        <c:axId val="1766431983"/>
      </c:barChart>
      <c:catAx>
        <c:axId val="17664390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66431983"/>
        <c:crosses val="autoZero"/>
        <c:auto val="1"/>
        <c:lblAlgn val="ctr"/>
        <c:lblOffset val="100"/>
        <c:noMultiLvlLbl val="0"/>
      </c:catAx>
      <c:valAx>
        <c:axId val="17664319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643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System.xlsm]PivotTable!PivotTable6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609892723141153"/>
          <c:y val="6.2230971128608925E-2"/>
          <c:w val="0.47441561415561312"/>
          <c:h val="0.907172995780590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PivotTable!$J$6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PivotTable!$I$7:$I$16</c:f>
              <c:strCache>
                <c:ptCount val="10"/>
                <c:pt idx="0">
                  <c:v>Headband</c:v>
                </c:pt>
                <c:pt idx="1">
                  <c:v>Durian Cup</c:v>
                </c:pt>
                <c:pt idx="2">
                  <c:v>Gift Bag</c:v>
                </c:pt>
                <c:pt idx="3">
                  <c:v>Mason Jar</c:v>
                </c:pt>
                <c:pt idx="4">
                  <c:v>2in1 Towel</c:v>
                </c:pt>
                <c:pt idx="5">
                  <c:v>Styllus Pen Journal</c:v>
                </c:pt>
                <c:pt idx="6">
                  <c:v>Rechargeable Fan</c:v>
                </c:pt>
                <c:pt idx="7">
                  <c:v>Necklace</c:v>
                </c:pt>
                <c:pt idx="8">
                  <c:v>Scrunchies</c:v>
                </c:pt>
                <c:pt idx="9">
                  <c:v>Gift Box</c:v>
                </c:pt>
              </c:strCache>
            </c:strRef>
          </c:cat>
          <c:val>
            <c:numRef>
              <c:f>PivotTable!$J$7:$J$16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15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8-4F91-8EFE-52F524FEE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axId val="1464213951"/>
        <c:axId val="1464222271"/>
      </c:barChart>
      <c:catAx>
        <c:axId val="1464213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22271"/>
        <c:crosses val="autoZero"/>
        <c:auto val="1"/>
        <c:lblAlgn val="ctr"/>
        <c:lblOffset val="100"/>
        <c:noMultiLvlLbl val="0"/>
      </c:catAx>
      <c:valAx>
        <c:axId val="14642222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64213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System.xlsm]PivotTable!PivotTable14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AE78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AE78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AE78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PivotTable!$J$20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AE78D6"/>
            </a:solidFill>
            <a:ln>
              <a:noFill/>
            </a:ln>
            <a:effectLst/>
          </c:spPr>
          <c:invertIfNegative val="0"/>
          <c:cat>
            <c:strRef>
              <c:f>PivotTable!$I$21:$I$30</c:f>
              <c:strCache>
                <c:ptCount val="10"/>
                <c:pt idx="0">
                  <c:v>Male Watch</c:v>
                </c:pt>
                <c:pt idx="1">
                  <c:v>Oval Flask</c:v>
                </c:pt>
                <c:pt idx="2">
                  <c:v>Libby Cup</c:v>
                </c:pt>
                <c:pt idx="3">
                  <c:v>Candy bottle</c:v>
                </c:pt>
                <c:pt idx="4">
                  <c:v>Wallet</c:v>
                </c:pt>
                <c:pt idx="5">
                  <c:v>Stainless Steel Bottle</c:v>
                </c:pt>
                <c:pt idx="6">
                  <c:v>Hair Straightner</c:v>
                </c:pt>
                <c:pt idx="7">
                  <c:v>Two Toned Journal</c:v>
                </c:pt>
                <c:pt idx="8">
                  <c:v>Hoho Cup</c:v>
                </c:pt>
                <c:pt idx="9">
                  <c:v>Rechargeable Blender</c:v>
                </c:pt>
              </c:strCache>
            </c:strRef>
          </c:cat>
          <c:val>
            <c:numRef>
              <c:f>PivotTable!$J$21:$J$30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9-4D79-8141-E994112C8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8"/>
        <c:axId val="1036893583"/>
        <c:axId val="1036894831"/>
      </c:barChart>
      <c:catAx>
        <c:axId val="1036893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894831"/>
        <c:crosses val="autoZero"/>
        <c:auto val="1"/>
        <c:lblAlgn val="ctr"/>
        <c:lblOffset val="100"/>
        <c:noMultiLvlLbl val="0"/>
      </c:catAx>
      <c:valAx>
        <c:axId val="10368948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3689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System.xlsm]PivotTable!PivotTable9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373468941382328"/>
          <c:y val="5.0925925925925923E-2"/>
          <c:w val="0.2079319772528434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PivotTable!$Q$6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PivotTable!$P$7:$P$27</c:f>
              <c:strCache>
                <c:ptCount val="21"/>
                <c:pt idx="0">
                  <c:v>Wallet</c:v>
                </c:pt>
                <c:pt idx="1">
                  <c:v>Necklace</c:v>
                </c:pt>
                <c:pt idx="2">
                  <c:v>Male Watch</c:v>
                </c:pt>
                <c:pt idx="3">
                  <c:v>Executive Journal</c:v>
                </c:pt>
                <c:pt idx="4">
                  <c:v>Two Toned Journal</c:v>
                </c:pt>
                <c:pt idx="5">
                  <c:v>Gym Bottle</c:v>
                </c:pt>
                <c:pt idx="6">
                  <c:v>Ice Cup</c:v>
                </c:pt>
                <c:pt idx="7">
                  <c:v>Strap Journal</c:v>
                </c:pt>
                <c:pt idx="8">
                  <c:v>Cufflinks</c:v>
                </c:pt>
                <c:pt idx="9">
                  <c:v>Hair Straightner</c:v>
                </c:pt>
                <c:pt idx="10">
                  <c:v>Bracelet</c:v>
                </c:pt>
                <c:pt idx="11">
                  <c:v>Oval Flask</c:v>
                </c:pt>
                <c:pt idx="12">
                  <c:v>Insulated Tumbler</c:v>
                </c:pt>
                <c:pt idx="13">
                  <c:v>Styllus Pen Journal</c:v>
                </c:pt>
                <c:pt idx="14">
                  <c:v>Leather Journal</c:v>
                </c:pt>
                <c:pt idx="15">
                  <c:v>Face Cap</c:v>
                </c:pt>
                <c:pt idx="16">
                  <c:v>Hair Clipper</c:v>
                </c:pt>
                <c:pt idx="17">
                  <c:v>Hoho Cup</c:v>
                </c:pt>
                <c:pt idx="18">
                  <c:v>Comb Set</c:v>
                </c:pt>
                <c:pt idx="19">
                  <c:v>Matte Flask</c:v>
                </c:pt>
                <c:pt idx="20">
                  <c:v>Infuser Bottle</c:v>
                </c:pt>
              </c:strCache>
            </c:strRef>
          </c:cat>
          <c:val>
            <c:numRef>
              <c:f>PivotTable!$Q$7:$Q$27</c:f>
              <c:numCache>
                <c:formatCode>General</c:formatCode>
                <c:ptCount val="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4-4694-A3C8-CEF31E8A2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19054591"/>
        <c:axId val="2019052511"/>
      </c:barChart>
      <c:catAx>
        <c:axId val="201905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052511"/>
        <c:crosses val="autoZero"/>
        <c:auto val="1"/>
        <c:lblAlgn val="ctr"/>
        <c:lblOffset val="100"/>
        <c:noMultiLvlLbl val="0"/>
      </c:catAx>
      <c:valAx>
        <c:axId val="20190525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19054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6.xml"/><Relationship Id="rId18" Type="http://schemas.openxmlformats.org/officeDocument/2006/relationships/hyperlink" Target="#Sales!A1"/><Relationship Id="rId3" Type="http://schemas.openxmlformats.org/officeDocument/2006/relationships/chart" Target="../charts/chart2.xml"/><Relationship Id="rId21" Type="http://schemas.openxmlformats.org/officeDocument/2006/relationships/hyperlink" Target="#Products!A1"/><Relationship Id="rId7" Type="http://schemas.openxmlformats.org/officeDocument/2006/relationships/image" Target="../media/image4.png"/><Relationship Id="rId12" Type="http://schemas.openxmlformats.org/officeDocument/2006/relationships/chart" Target="../charts/chart5.xml"/><Relationship Id="rId17" Type="http://schemas.openxmlformats.org/officeDocument/2006/relationships/hyperlink" Target="#'New Entry'!A1"/><Relationship Id="rId2" Type="http://schemas.openxmlformats.org/officeDocument/2006/relationships/chart" Target="../charts/chart1.xml"/><Relationship Id="rId16" Type="http://schemas.openxmlformats.org/officeDocument/2006/relationships/hyperlink" Target="#Dashboard!A1"/><Relationship Id="rId20" Type="http://schemas.openxmlformats.org/officeDocument/2006/relationships/hyperlink" Target="#Inventory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chart" Target="../charts/chart4.xml"/><Relationship Id="rId24" Type="http://schemas.openxmlformats.org/officeDocument/2006/relationships/hyperlink" Target="#Vendors!A1"/><Relationship Id="rId5" Type="http://schemas.openxmlformats.org/officeDocument/2006/relationships/image" Target="../media/image2.png"/><Relationship Id="rId15" Type="http://schemas.openxmlformats.org/officeDocument/2006/relationships/image" Target="../media/image8.png"/><Relationship Id="rId23" Type="http://schemas.openxmlformats.org/officeDocument/2006/relationships/hyperlink" Target="#'Customers'!A1"/><Relationship Id="rId10" Type="http://schemas.openxmlformats.org/officeDocument/2006/relationships/image" Target="../media/image7.png"/><Relationship Id="rId19" Type="http://schemas.openxmlformats.org/officeDocument/2006/relationships/hyperlink" Target="#Purchase!A1"/><Relationship Id="rId4" Type="http://schemas.openxmlformats.org/officeDocument/2006/relationships/chart" Target="../charts/chart3.xml"/><Relationship Id="rId9" Type="http://schemas.openxmlformats.org/officeDocument/2006/relationships/image" Target="../media/image6.png"/><Relationship Id="rId14" Type="http://schemas.openxmlformats.org/officeDocument/2006/relationships/chart" Target="../charts/chart7.xml"/><Relationship Id="rId22" Type="http://schemas.openxmlformats.org/officeDocument/2006/relationships/hyperlink" Target="#'Product Categorie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99060</xdr:rowOff>
    </xdr:from>
    <xdr:to>
      <xdr:col>23</xdr:col>
      <xdr:colOff>304800</xdr:colOff>
      <xdr:row>40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53640" y="99060"/>
          <a:ext cx="11871960" cy="736092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426720</xdr:colOff>
      <xdr:row>10</xdr:row>
      <xdr:rowOff>45720</xdr:rowOff>
    </xdr:from>
    <xdr:to>
      <xdr:col>23</xdr:col>
      <xdr:colOff>53340</xdr:colOff>
      <xdr:row>29</xdr:row>
      <xdr:rowOff>167640</xdr:rowOff>
    </xdr:to>
    <xdr:sp macro="" textlink="">
      <xdr:nvSpPr>
        <xdr:cNvPr id="141" name="Rectangle: Rounded Corners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12009120" y="1874520"/>
          <a:ext cx="2065020" cy="3596640"/>
        </a:xfrm>
        <a:prstGeom prst="roundRect">
          <a:avLst>
            <a:gd name="adj" fmla="val 445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106680</xdr:colOff>
      <xdr:row>0</xdr:row>
      <xdr:rowOff>76200</xdr:rowOff>
    </xdr:from>
    <xdr:to>
      <xdr:col>4</xdr:col>
      <xdr:colOff>76200</xdr:colOff>
      <xdr:row>48</xdr:row>
      <xdr:rowOff>129540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6680" y="7620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243840</xdr:colOff>
      <xdr:row>8</xdr:row>
      <xdr:rowOff>99060</xdr:rowOff>
    </xdr:from>
    <xdr:to>
      <xdr:col>3</xdr:col>
      <xdr:colOff>556260</xdr:colOff>
      <xdr:row>28</xdr:row>
      <xdr:rowOff>167640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43840" y="156210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320041</xdr:colOff>
      <xdr:row>2</xdr:row>
      <xdr:rowOff>114299</xdr:rowOff>
    </xdr:from>
    <xdr:to>
      <xdr:col>3</xdr:col>
      <xdr:colOff>449580</xdr:colOff>
      <xdr:row>7</xdr:row>
      <xdr:rowOff>144164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320041" y="480059"/>
          <a:ext cx="1958339" cy="944265"/>
        </a:xfrm>
        <a:prstGeom prst="rect">
          <a:avLst/>
        </a:prstGeom>
      </xdr:spPr>
    </xdr:pic>
    <xdr:clientData/>
  </xdr:twoCellAnchor>
  <xdr:twoCellAnchor>
    <xdr:from>
      <xdr:col>4</xdr:col>
      <xdr:colOff>137160</xdr:colOff>
      <xdr:row>0</xdr:row>
      <xdr:rowOff>83820</xdr:rowOff>
    </xdr:from>
    <xdr:to>
      <xdr:col>23</xdr:col>
      <xdr:colOff>220980</xdr:colOff>
      <xdr:row>2</xdr:row>
      <xdr:rowOff>99060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575560" y="83820"/>
          <a:ext cx="11666220" cy="381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190500</xdr:colOff>
      <xdr:row>0</xdr:row>
      <xdr:rowOff>99060</xdr:rowOff>
    </xdr:from>
    <xdr:to>
      <xdr:col>10</xdr:col>
      <xdr:colOff>129540</xdr:colOff>
      <xdr:row>2</xdr:row>
      <xdr:rowOff>137160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628900" y="99060"/>
          <a:ext cx="359664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Arial Black" panose="020B0A04020102020204" pitchFamily="34" charset="0"/>
            </a:rPr>
            <a:t>Welcome, Blessedsarah!</a:t>
          </a:r>
        </a:p>
      </xdr:txBody>
    </xdr:sp>
    <xdr:clientData/>
  </xdr:twoCellAnchor>
  <xdr:twoCellAnchor>
    <xdr:from>
      <xdr:col>7</xdr:col>
      <xdr:colOff>121920</xdr:colOff>
      <xdr:row>13</xdr:row>
      <xdr:rowOff>15240</xdr:rowOff>
    </xdr:from>
    <xdr:to>
      <xdr:col>8</xdr:col>
      <xdr:colOff>312420</xdr:colOff>
      <xdr:row>14</xdr:row>
      <xdr:rowOff>114300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4389120" y="257556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182880</xdr:colOff>
      <xdr:row>3</xdr:row>
      <xdr:rowOff>15240</xdr:rowOff>
    </xdr:from>
    <xdr:to>
      <xdr:col>8</xdr:col>
      <xdr:colOff>266700</xdr:colOff>
      <xdr:row>9</xdr:row>
      <xdr:rowOff>167640</xdr:rowOff>
    </xdr:to>
    <xdr:sp macro="" textlink="">
      <xdr:nvSpPr>
        <xdr:cNvPr id="63" name="Rectangle: Rounded Corners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621280" y="563880"/>
          <a:ext cx="2522220" cy="124968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381000</xdr:colOff>
      <xdr:row>3</xdr:row>
      <xdr:rowOff>15240</xdr:rowOff>
    </xdr:from>
    <xdr:to>
      <xdr:col>23</xdr:col>
      <xdr:colOff>53340</xdr:colOff>
      <xdr:row>9</xdr:row>
      <xdr:rowOff>137160</xdr:rowOff>
    </xdr:to>
    <xdr:sp macro="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5257800" y="563880"/>
          <a:ext cx="8816340" cy="121920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182880</xdr:colOff>
      <xdr:row>10</xdr:row>
      <xdr:rowOff>72390</xdr:rowOff>
    </xdr:from>
    <xdr:to>
      <xdr:col>8</xdr:col>
      <xdr:colOff>266700</xdr:colOff>
      <xdr:row>19</xdr:row>
      <xdr:rowOff>3810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2621280" y="1901190"/>
          <a:ext cx="2522220" cy="157734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182880</xdr:colOff>
      <xdr:row>19</xdr:row>
      <xdr:rowOff>99060</xdr:rowOff>
    </xdr:from>
    <xdr:to>
      <xdr:col>8</xdr:col>
      <xdr:colOff>266700</xdr:colOff>
      <xdr:row>30</xdr:row>
      <xdr:rowOff>22860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21280" y="3573780"/>
          <a:ext cx="2522220" cy="193548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190500</xdr:colOff>
      <xdr:row>6</xdr:row>
      <xdr:rowOff>38100</xdr:rowOff>
    </xdr:from>
    <xdr:to>
      <xdr:col>8</xdr:col>
      <xdr:colOff>274320</xdr:colOff>
      <xdr:row>10</xdr:row>
      <xdr:rowOff>83820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</xdr:colOff>
      <xdr:row>4</xdr:row>
      <xdr:rowOff>91440</xdr:rowOff>
    </xdr:from>
    <xdr:to>
      <xdr:col>7</xdr:col>
      <xdr:colOff>76200</xdr:colOff>
      <xdr:row>6</xdr:row>
      <xdr:rowOff>114300</xdr:rowOff>
    </xdr:to>
    <xdr:sp macro="" textlink="PivotTable!A12">
      <xdr:nvSpPr>
        <xdr:cNvPr id="70" name="TextBox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131820" y="822960"/>
          <a:ext cx="12115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77AB06E-63D8-4CD9-9AFD-829A468F85E2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₦827.0K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182880</xdr:colOff>
      <xdr:row>6</xdr:row>
      <xdr:rowOff>45720</xdr:rowOff>
    </xdr:from>
    <xdr:to>
      <xdr:col>6</xdr:col>
      <xdr:colOff>510540</xdr:colOff>
      <xdr:row>7</xdr:row>
      <xdr:rowOff>144780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3230880" y="1143000"/>
          <a:ext cx="9372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Sales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7620</xdr:colOff>
      <xdr:row>12</xdr:row>
      <xdr:rowOff>60960</xdr:rowOff>
    </xdr:from>
    <xdr:to>
      <xdr:col>9</xdr:col>
      <xdr:colOff>38100</xdr:colOff>
      <xdr:row>22</xdr:row>
      <xdr:rowOff>15240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373380</xdr:colOff>
      <xdr:row>10</xdr:row>
      <xdr:rowOff>38100</xdr:rowOff>
    </xdr:from>
    <xdr:to>
      <xdr:col>15</xdr:col>
      <xdr:colOff>335280</xdr:colOff>
      <xdr:row>30</xdr:row>
      <xdr:rowOff>15240</xdr:rowOff>
    </xdr:to>
    <xdr:sp macro="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5250180" y="1866900"/>
          <a:ext cx="4229100" cy="3634740"/>
        </a:xfrm>
        <a:prstGeom prst="roundRect">
          <a:avLst>
            <a:gd name="adj" fmla="val 445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411480</xdr:colOff>
      <xdr:row>10</xdr:row>
      <xdr:rowOff>38100</xdr:rowOff>
    </xdr:from>
    <xdr:to>
      <xdr:col>19</xdr:col>
      <xdr:colOff>365760</xdr:colOff>
      <xdr:row>29</xdr:row>
      <xdr:rowOff>160020</xdr:rowOff>
    </xdr:to>
    <xdr:sp macro="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9555480" y="1866900"/>
          <a:ext cx="2392680" cy="3596640"/>
        </a:xfrm>
        <a:prstGeom prst="roundRect">
          <a:avLst>
            <a:gd name="adj" fmla="val 445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220980</xdr:colOff>
      <xdr:row>21</xdr:row>
      <xdr:rowOff>99060</xdr:rowOff>
    </xdr:from>
    <xdr:to>
      <xdr:col>8</xdr:col>
      <xdr:colOff>259080</xdr:colOff>
      <xdr:row>30</xdr:row>
      <xdr:rowOff>60960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243840</xdr:colOff>
      <xdr:row>19</xdr:row>
      <xdr:rowOff>121920</xdr:rowOff>
    </xdr:from>
    <xdr:to>
      <xdr:col>8</xdr:col>
      <xdr:colOff>205740</xdr:colOff>
      <xdr:row>22</xdr:row>
      <xdr:rowOff>30480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2682240" y="3596640"/>
          <a:ext cx="24003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ysClr val="windowText" lastClr="0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Which Channel is generating the most Sales?</a:t>
          </a:r>
          <a:endParaRPr lang="en-US" sz="1000" b="0">
            <a:solidFill>
              <a:sysClr val="windowText" lastClr="000000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373380</xdr:colOff>
      <xdr:row>10</xdr:row>
      <xdr:rowOff>106680</xdr:rowOff>
    </xdr:from>
    <xdr:to>
      <xdr:col>6</xdr:col>
      <xdr:colOff>251460</xdr:colOff>
      <xdr:row>12</xdr:row>
      <xdr:rowOff>22860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 txBox="1"/>
      </xdr:nvSpPr>
      <xdr:spPr>
        <a:xfrm>
          <a:off x="2811780" y="1935480"/>
          <a:ext cx="109728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ysClr val="windowText" lastClr="0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Profit margin %</a:t>
          </a:r>
          <a:endParaRPr lang="en-US" sz="1000" b="0">
            <a:solidFill>
              <a:sysClr val="windowText" lastClr="000000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510540</xdr:colOff>
      <xdr:row>15</xdr:row>
      <xdr:rowOff>91440</xdr:rowOff>
    </xdr:from>
    <xdr:to>
      <xdr:col>7</xdr:col>
      <xdr:colOff>53340</xdr:colOff>
      <xdr:row>17</xdr:row>
      <xdr:rowOff>137160</xdr:rowOff>
    </xdr:to>
    <xdr:sp macro="" textlink="PivotTable!S16">
      <xdr:nvSpPr>
        <xdr:cNvPr id="81" name="TextBox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/>
      </xdr:nvSpPr>
      <xdr:spPr>
        <a:xfrm>
          <a:off x="3558540" y="2834640"/>
          <a:ext cx="76200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399AFD2-015A-4B7E-85FE-B34BF9A5E189}" type="TxLink">
            <a:rPr lang="en-US" sz="16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41.93</a:t>
          </a:fld>
          <a:endParaRPr lang="en-US" sz="16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312420</xdr:colOff>
      <xdr:row>4</xdr:row>
      <xdr:rowOff>175260</xdr:rowOff>
    </xdr:from>
    <xdr:to>
      <xdr:col>5</xdr:col>
      <xdr:colOff>114300</xdr:colOff>
      <xdr:row>7</xdr:row>
      <xdr:rowOff>53340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2750820" y="90678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4</xdr:col>
      <xdr:colOff>411480</xdr:colOff>
      <xdr:row>5</xdr:row>
      <xdr:rowOff>83820</xdr:rowOff>
    </xdr:from>
    <xdr:to>
      <xdr:col>5</xdr:col>
      <xdr:colOff>49419</xdr:colOff>
      <xdr:row>6</xdr:row>
      <xdr:rowOff>148479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849880" y="998220"/>
          <a:ext cx="247539" cy="247539"/>
        </a:xfrm>
        <a:prstGeom prst="rect">
          <a:avLst/>
        </a:prstGeom>
      </xdr:spPr>
    </xdr:pic>
    <xdr:clientData/>
  </xdr:twoCellAnchor>
  <xdr:twoCellAnchor>
    <xdr:from>
      <xdr:col>8</xdr:col>
      <xdr:colOff>571500</xdr:colOff>
      <xdr:row>4</xdr:row>
      <xdr:rowOff>0</xdr:rowOff>
    </xdr:from>
    <xdr:to>
      <xdr:col>11</xdr:col>
      <xdr:colOff>335279</xdr:colOff>
      <xdr:row>8</xdr:row>
      <xdr:rowOff>167640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5448300" y="731520"/>
          <a:ext cx="1592579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443865</xdr:colOff>
      <xdr:row>4</xdr:row>
      <xdr:rowOff>0</xdr:rowOff>
    </xdr:from>
    <xdr:to>
      <xdr:col>14</xdr:col>
      <xdr:colOff>210440</xdr:colOff>
      <xdr:row>8</xdr:row>
      <xdr:rowOff>167640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7149465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rgbClr val="7030A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316230</xdr:colOff>
      <xdr:row>4</xdr:row>
      <xdr:rowOff>0</xdr:rowOff>
    </xdr:from>
    <xdr:to>
      <xdr:col>17</xdr:col>
      <xdr:colOff>82805</xdr:colOff>
      <xdr:row>8</xdr:row>
      <xdr:rowOff>167640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8850630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188595</xdr:colOff>
      <xdr:row>4</xdr:row>
      <xdr:rowOff>0</xdr:rowOff>
    </xdr:from>
    <xdr:to>
      <xdr:col>19</xdr:col>
      <xdr:colOff>564770</xdr:colOff>
      <xdr:row>8</xdr:row>
      <xdr:rowOff>167640</xdr:rowOff>
    </xdr:to>
    <xdr:sp macro="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10551795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60960</xdr:colOff>
      <xdr:row>4</xdr:row>
      <xdr:rowOff>0</xdr:rowOff>
    </xdr:from>
    <xdr:to>
      <xdr:col>22</xdr:col>
      <xdr:colOff>437135</xdr:colOff>
      <xdr:row>8</xdr:row>
      <xdr:rowOff>167640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12252960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403859</xdr:colOff>
      <xdr:row>4</xdr:row>
      <xdr:rowOff>114300</xdr:rowOff>
    </xdr:from>
    <xdr:to>
      <xdr:col>11</xdr:col>
      <xdr:colOff>457199</xdr:colOff>
      <xdr:row>6</xdr:row>
      <xdr:rowOff>137160</xdr:rowOff>
    </xdr:to>
    <xdr:sp macro="" textlink="PivotTable!#REF!">
      <xdr:nvSpPr>
        <xdr:cNvPr id="89" name="TextBox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5890259" y="845820"/>
          <a:ext cx="127254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6D8374A-01E7-4654-8351-49937A239EE7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₦346.8K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9</xdr:col>
      <xdr:colOff>487679</xdr:colOff>
      <xdr:row>6</xdr:row>
      <xdr:rowOff>76200</xdr:rowOff>
    </xdr:from>
    <xdr:to>
      <xdr:col>11</xdr:col>
      <xdr:colOff>205739</xdr:colOff>
      <xdr:row>7</xdr:row>
      <xdr:rowOff>175260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5974079" y="1173480"/>
          <a:ext cx="9372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Profit/Loss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9</xdr:col>
      <xdr:colOff>68580</xdr:colOff>
      <xdr:row>5</xdr:row>
      <xdr:rowOff>38100</xdr:rowOff>
    </xdr:from>
    <xdr:to>
      <xdr:col>9</xdr:col>
      <xdr:colOff>480060</xdr:colOff>
      <xdr:row>7</xdr:row>
      <xdr:rowOff>99060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554980" y="95250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137160</xdr:colOff>
      <xdr:row>5</xdr:row>
      <xdr:rowOff>106681</xdr:rowOff>
    </xdr:from>
    <xdr:to>
      <xdr:col>9</xdr:col>
      <xdr:colOff>396239</xdr:colOff>
      <xdr:row>7</xdr:row>
      <xdr:rowOff>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3560" y="1021081"/>
          <a:ext cx="259079" cy="259079"/>
        </a:xfrm>
        <a:prstGeom prst="rect">
          <a:avLst/>
        </a:prstGeom>
      </xdr:spPr>
    </xdr:pic>
    <xdr:clientData/>
  </xdr:twoCellAnchor>
  <xdr:twoCellAnchor>
    <xdr:from>
      <xdr:col>12</xdr:col>
      <xdr:colOff>301250</xdr:colOff>
      <xdr:row>4</xdr:row>
      <xdr:rowOff>106680</xdr:rowOff>
    </xdr:from>
    <xdr:to>
      <xdr:col>14</xdr:col>
      <xdr:colOff>308870</xdr:colOff>
      <xdr:row>6</xdr:row>
      <xdr:rowOff>129540</xdr:rowOff>
    </xdr:to>
    <xdr:sp macro="" textlink="PivotTable!A15">
      <xdr:nvSpPr>
        <xdr:cNvPr id="93" name="TextBox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/>
      </xdr:nvSpPr>
      <xdr:spPr>
        <a:xfrm>
          <a:off x="7616450" y="838200"/>
          <a:ext cx="12268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0973A85-9263-45D8-8EF4-D189C02BFAE4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₦805.8K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369830</xdr:colOff>
      <xdr:row>6</xdr:row>
      <xdr:rowOff>76200</xdr:rowOff>
    </xdr:from>
    <xdr:to>
      <xdr:col>14</xdr:col>
      <xdr:colOff>87890</xdr:colOff>
      <xdr:row>7</xdr:row>
      <xdr:rowOff>175260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 txBox="1"/>
      </xdr:nvSpPr>
      <xdr:spPr>
        <a:xfrm>
          <a:off x="7685030" y="1173480"/>
          <a:ext cx="9372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Cost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11</xdr:col>
      <xdr:colOff>533400</xdr:colOff>
      <xdr:row>5</xdr:row>
      <xdr:rowOff>30480</xdr:rowOff>
    </xdr:from>
    <xdr:to>
      <xdr:col>12</xdr:col>
      <xdr:colOff>335280</xdr:colOff>
      <xdr:row>7</xdr:row>
      <xdr:rowOff>91440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239000" y="94488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12</xdr:col>
      <xdr:colOff>7620</xdr:colOff>
      <xdr:row>5</xdr:row>
      <xdr:rowOff>109347</xdr:rowOff>
    </xdr:from>
    <xdr:to>
      <xdr:col>12</xdr:col>
      <xdr:colOff>279274</xdr:colOff>
      <xdr:row>7</xdr:row>
      <xdr:rowOff>15241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322820" y="1023747"/>
          <a:ext cx="271654" cy="271654"/>
        </a:xfrm>
        <a:prstGeom prst="rect">
          <a:avLst/>
        </a:prstGeom>
      </xdr:spPr>
    </xdr:pic>
    <xdr:clientData/>
  </xdr:twoCellAnchor>
  <xdr:twoCellAnchor>
    <xdr:from>
      <xdr:col>15</xdr:col>
      <xdr:colOff>148900</xdr:colOff>
      <xdr:row>4</xdr:row>
      <xdr:rowOff>83820</xdr:rowOff>
    </xdr:from>
    <xdr:to>
      <xdr:col>17</xdr:col>
      <xdr:colOff>133660</xdr:colOff>
      <xdr:row>6</xdr:row>
      <xdr:rowOff>152400</xdr:rowOff>
    </xdr:to>
    <xdr:sp macro="" textlink="PivotTable!A18">
      <xdr:nvSpPr>
        <xdr:cNvPr id="97" name="TextBox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9292900" y="815340"/>
          <a:ext cx="120396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CB1E57B-C483-465A-B4FE-62B02901E263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₦325.6K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15</xdr:col>
      <xdr:colOff>225100</xdr:colOff>
      <xdr:row>6</xdr:row>
      <xdr:rowOff>60960</xdr:rowOff>
    </xdr:from>
    <xdr:to>
      <xdr:col>17</xdr:col>
      <xdr:colOff>87940</xdr:colOff>
      <xdr:row>7</xdr:row>
      <xdr:rowOff>160020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/>
      </xdr:nvSpPr>
      <xdr:spPr>
        <a:xfrm>
          <a:off x="9369100" y="1158240"/>
          <a:ext cx="10820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Stock Amount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14</xdr:col>
      <xdr:colOff>411480</xdr:colOff>
      <xdr:row>5</xdr:row>
      <xdr:rowOff>7620</xdr:rowOff>
    </xdr:from>
    <xdr:to>
      <xdr:col>15</xdr:col>
      <xdr:colOff>213360</xdr:colOff>
      <xdr:row>7</xdr:row>
      <xdr:rowOff>68580</xdr:rowOff>
    </xdr:to>
    <xdr:sp macro="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8945880" y="92202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457200</xdr:colOff>
      <xdr:row>5</xdr:row>
      <xdr:rowOff>64462</xdr:rowOff>
    </xdr:from>
    <xdr:to>
      <xdr:col>15</xdr:col>
      <xdr:colOff>148899</xdr:colOff>
      <xdr:row>7</xdr:row>
      <xdr:rowOff>1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991600" y="978862"/>
          <a:ext cx="301299" cy="301299"/>
        </a:xfrm>
        <a:prstGeom prst="rect">
          <a:avLst/>
        </a:prstGeom>
      </xdr:spPr>
    </xdr:pic>
    <xdr:clientData/>
  </xdr:twoCellAnchor>
  <xdr:twoCellAnchor>
    <xdr:from>
      <xdr:col>18</xdr:col>
      <xdr:colOff>265180</xdr:colOff>
      <xdr:row>4</xdr:row>
      <xdr:rowOff>83820</xdr:rowOff>
    </xdr:from>
    <xdr:to>
      <xdr:col>19</xdr:col>
      <xdr:colOff>181360</xdr:colOff>
      <xdr:row>6</xdr:row>
      <xdr:rowOff>106680</xdr:rowOff>
    </xdr:to>
    <xdr:sp macro="" textlink="PivotTable!A9">
      <xdr:nvSpPr>
        <xdr:cNvPr id="101" name="TextBox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/>
      </xdr:nvSpPr>
      <xdr:spPr>
        <a:xfrm>
          <a:off x="11237980" y="815340"/>
          <a:ext cx="5257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6EDB3F7-6A4E-43D6-93DD-2F71CE0C56FE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46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18</xdr:col>
      <xdr:colOff>242320</xdr:colOff>
      <xdr:row>6</xdr:row>
      <xdr:rowOff>60960</xdr:rowOff>
    </xdr:from>
    <xdr:to>
      <xdr:col>19</xdr:col>
      <xdr:colOff>432820</xdr:colOff>
      <xdr:row>7</xdr:row>
      <xdr:rowOff>160020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/>
      </xdr:nvSpPr>
      <xdr:spPr>
        <a:xfrm>
          <a:off x="11215120" y="115824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17</xdr:col>
      <xdr:colOff>289560</xdr:colOff>
      <xdr:row>5</xdr:row>
      <xdr:rowOff>22860</xdr:rowOff>
    </xdr:from>
    <xdr:to>
      <xdr:col>18</xdr:col>
      <xdr:colOff>91440</xdr:colOff>
      <xdr:row>7</xdr:row>
      <xdr:rowOff>83820</xdr:rowOff>
    </xdr:to>
    <xdr:sp macro="" textlink="">
      <xdr:nvSpPr>
        <xdr:cNvPr id="104" name="Rectangle: Rounded Corners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0652760" y="93726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17</xdr:col>
      <xdr:colOff>342900</xdr:colOff>
      <xdr:row>5</xdr:row>
      <xdr:rowOff>62483</xdr:rowOff>
    </xdr:from>
    <xdr:to>
      <xdr:col>18</xdr:col>
      <xdr:colOff>44200</xdr:colOff>
      <xdr:row>7</xdr:row>
      <xdr:rowOff>7623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0706100" y="976883"/>
          <a:ext cx="310900" cy="310900"/>
        </a:xfrm>
        <a:prstGeom prst="rect">
          <a:avLst/>
        </a:prstGeom>
      </xdr:spPr>
    </xdr:pic>
    <xdr:clientData/>
  </xdr:twoCellAnchor>
  <xdr:twoCellAnchor>
    <xdr:from>
      <xdr:col>21</xdr:col>
      <xdr:colOff>60960</xdr:colOff>
      <xdr:row>4</xdr:row>
      <xdr:rowOff>99060</xdr:rowOff>
    </xdr:from>
    <xdr:to>
      <xdr:col>21</xdr:col>
      <xdr:colOff>586740</xdr:colOff>
      <xdr:row>6</xdr:row>
      <xdr:rowOff>121920</xdr:rowOff>
    </xdr:to>
    <xdr:sp macro="" textlink="PivotTable!A6">
      <xdr:nvSpPr>
        <xdr:cNvPr id="105" name="TextBox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12862560" y="830580"/>
          <a:ext cx="5257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609D14E-5A9D-44C3-8C79-3767B70E445C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38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45720</xdr:colOff>
      <xdr:row>6</xdr:row>
      <xdr:rowOff>38100</xdr:rowOff>
    </xdr:from>
    <xdr:to>
      <xdr:col>22</xdr:col>
      <xdr:colOff>381000</xdr:colOff>
      <xdr:row>7</xdr:row>
      <xdr:rowOff>137160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 txBox="1"/>
      </xdr:nvSpPr>
      <xdr:spPr>
        <a:xfrm>
          <a:off x="12847320" y="1135380"/>
          <a:ext cx="94488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20</xdr:col>
      <xdr:colOff>160020</xdr:colOff>
      <xdr:row>5</xdr:row>
      <xdr:rowOff>15240</xdr:rowOff>
    </xdr:from>
    <xdr:to>
      <xdr:col>20</xdr:col>
      <xdr:colOff>571500</xdr:colOff>
      <xdr:row>7</xdr:row>
      <xdr:rowOff>76200</xdr:rowOff>
    </xdr:to>
    <xdr:sp macro="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2352020" y="92964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20</xdr:col>
      <xdr:colOff>236220</xdr:colOff>
      <xdr:row>5</xdr:row>
      <xdr:rowOff>91440</xdr:rowOff>
    </xdr:from>
    <xdr:to>
      <xdr:col>20</xdr:col>
      <xdr:colOff>480060</xdr:colOff>
      <xdr:row>6</xdr:row>
      <xdr:rowOff>152400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8220" y="1005840"/>
          <a:ext cx="243840" cy="243840"/>
        </a:xfrm>
        <a:prstGeom prst="rect">
          <a:avLst/>
        </a:prstGeom>
      </xdr:spPr>
    </xdr:pic>
    <xdr:clientData/>
  </xdr:twoCellAnchor>
  <xdr:twoCellAnchor>
    <xdr:from>
      <xdr:col>17</xdr:col>
      <xdr:colOff>38100</xdr:colOff>
      <xdr:row>23</xdr:row>
      <xdr:rowOff>68580</xdr:rowOff>
    </xdr:from>
    <xdr:to>
      <xdr:col>19</xdr:col>
      <xdr:colOff>342900</xdr:colOff>
      <xdr:row>29</xdr:row>
      <xdr:rowOff>53340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541020</xdr:colOff>
      <xdr:row>24</xdr:row>
      <xdr:rowOff>129540</xdr:rowOff>
    </xdr:from>
    <xdr:to>
      <xdr:col>17</xdr:col>
      <xdr:colOff>121920</xdr:colOff>
      <xdr:row>26</xdr:row>
      <xdr:rowOff>45720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9685020" y="451866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Stock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15</xdr:col>
      <xdr:colOff>548640</xdr:colOff>
      <xdr:row>26</xdr:row>
      <xdr:rowOff>106680</xdr:rowOff>
    </xdr:from>
    <xdr:to>
      <xdr:col>17</xdr:col>
      <xdr:colOff>144780</xdr:colOff>
      <xdr:row>28</xdr:row>
      <xdr:rowOff>22860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9692640" y="4861560"/>
          <a:ext cx="8153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Sales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18</xdr:col>
      <xdr:colOff>182880</xdr:colOff>
      <xdr:row>22</xdr:row>
      <xdr:rowOff>38100</xdr:rowOff>
    </xdr:from>
    <xdr:to>
      <xdr:col>19</xdr:col>
      <xdr:colOff>236220</xdr:colOff>
      <xdr:row>24</xdr:row>
      <xdr:rowOff>106680</xdr:rowOff>
    </xdr:to>
    <xdr:sp macro="" textlink="PivotTable!A24">
      <xdr:nvSpPr>
        <xdr:cNvPr id="113" name="TextBox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/>
      </xdr:nvSpPr>
      <xdr:spPr>
        <a:xfrm>
          <a:off x="11155680" y="4061460"/>
          <a:ext cx="66294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853C51E-28F4-4A89-89FD-073706077820}" type="TxLink">
            <a:rPr lang="en-US" sz="2000" b="0" i="0" u="none" strike="noStrike">
              <a:solidFill>
                <a:srgbClr val="7030A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335</a:t>
          </a:fld>
          <a:endParaRPr lang="en-US" sz="2000" b="0" i="0" u="none" strike="noStrike">
            <a:solidFill>
              <a:srgbClr val="7030A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15</xdr:col>
      <xdr:colOff>579120</xdr:colOff>
      <xdr:row>20</xdr:row>
      <xdr:rowOff>167640</xdr:rowOff>
    </xdr:from>
    <xdr:to>
      <xdr:col>18</xdr:col>
      <xdr:colOff>0</xdr:colOff>
      <xdr:row>22</xdr:row>
      <xdr:rowOff>60960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9723120" y="3825240"/>
          <a:ext cx="124968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latin typeface="Segoe UI Semibold" panose="020B0702040204020203" pitchFamily="34" charset="0"/>
              <a:cs typeface="Segoe UI Semibold" panose="020B0702040204020203" pitchFamily="34" charset="0"/>
            </a:rPr>
            <a:t>Inventory Values</a:t>
          </a:r>
        </a:p>
      </xdr:txBody>
    </xdr:sp>
    <xdr:clientData/>
  </xdr:twoCellAnchor>
  <xdr:twoCellAnchor>
    <xdr:from>
      <xdr:col>18</xdr:col>
      <xdr:colOff>160020</xdr:colOff>
      <xdr:row>20</xdr:row>
      <xdr:rowOff>114300</xdr:rowOff>
    </xdr:from>
    <xdr:to>
      <xdr:col>19</xdr:col>
      <xdr:colOff>274320</xdr:colOff>
      <xdr:row>22</xdr:row>
      <xdr:rowOff>144780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11132820" y="3771900"/>
          <a:ext cx="723900" cy="396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5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Unit Purchased</a:t>
          </a:r>
          <a:endParaRPr lang="en-US" sz="85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403860</xdr:colOff>
      <xdr:row>13</xdr:row>
      <xdr:rowOff>45720</xdr:rowOff>
    </xdr:from>
    <xdr:to>
      <xdr:col>12</xdr:col>
      <xdr:colOff>236220</xdr:colOff>
      <xdr:row>29</xdr:row>
      <xdr:rowOff>129540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160020</xdr:colOff>
      <xdr:row>13</xdr:row>
      <xdr:rowOff>45720</xdr:rowOff>
    </xdr:from>
    <xdr:to>
      <xdr:col>15</xdr:col>
      <xdr:colOff>304933</xdr:colOff>
      <xdr:row>29</xdr:row>
      <xdr:rowOff>137160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480060</xdr:colOff>
      <xdr:row>10</xdr:row>
      <xdr:rowOff>137160</xdr:rowOff>
    </xdr:from>
    <xdr:to>
      <xdr:col>13</xdr:col>
      <xdr:colOff>106680</xdr:colOff>
      <xdr:row>12</xdr:row>
      <xdr:rowOff>30480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5356860" y="1965960"/>
          <a:ext cx="26746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latin typeface="Segoe UI Semibold" panose="020B0702040204020203" pitchFamily="34" charset="0"/>
              <a:cs typeface="Segoe UI Semibold" panose="020B0702040204020203" pitchFamily="34" charset="0"/>
            </a:rPr>
            <a:t>See</a:t>
          </a:r>
          <a:r>
            <a:rPr lang="en-US" sz="1050" b="0" baseline="0">
              <a:latin typeface="Segoe UI Semibold" panose="020B0702040204020203" pitchFamily="34" charset="0"/>
              <a:cs typeface="Segoe UI Semibold" panose="020B0702040204020203" pitchFamily="34" charset="0"/>
            </a:rPr>
            <a:t> which products are performing well</a:t>
          </a:r>
          <a:endParaRPr lang="en-US" sz="1050" b="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487680</xdr:colOff>
      <xdr:row>12</xdr:row>
      <xdr:rowOff>30480</xdr:rowOff>
    </xdr:from>
    <xdr:to>
      <xdr:col>10</xdr:col>
      <xdr:colOff>68580</xdr:colOff>
      <xdr:row>13</xdr:row>
      <xdr:rowOff>129540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5364480" y="222504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rgbClr val="7030A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Best Sellers</a:t>
          </a:r>
          <a:endParaRPr lang="en-US" sz="900" b="0">
            <a:solidFill>
              <a:srgbClr val="7030A0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495300</xdr:colOff>
      <xdr:row>12</xdr:row>
      <xdr:rowOff>0</xdr:rowOff>
    </xdr:from>
    <xdr:to>
      <xdr:col>15</xdr:col>
      <xdr:colOff>251460</xdr:colOff>
      <xdr:row>13</xdr:row>
      <xdr:rowOff>99060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8420100" y="2194560"/>
          <a:ext cx="9753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Worst Sellers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83820</xdr:colOff>
      <xdr:row>12</xdr:row>
      <xdr:rowOff>152400</xdr:rowOff>
    </xdr:from>
    <xdr:to>
      <xdr:col>12</xdr:col>
      <xdr:colOff>106680</xdr:colOff>
      <xdr:row>29</xdr:row>
      <xdr:rowOff>114300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CxnSpPr/>
      </xdr:nvCxnSpPr>
      <xdr:spPr>
        <a:xfrm>
          <a:off x="7399020" y="2346960"/>
          <a:ext cx="22860" cy="3070860"/>
        </a:xfrm>
        <a:prstGeom prst="line">
          <a:avLst/>
        </a:prstGeom>
        <a:ln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571500</xdr:colOff>
      <xdr:row>10</xdr:row>
      <xdr:rowOff>60960</xdr:rowOff>
    </xdr:from>
    <xdr:to>
      <xdr:col>22</xdr:col>
      <xdr:colOff>533400</xdr:colOff>
      <xdr:row>11</xdr:row>
      <xdr:rowOff>114300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12153900" y="1889760"/>
          <a:ext cx="1790700" cy="236220"/>
        </a:xfrm>
        <a:prstGeom prst="rect">
          <a:avLst/>
        </a:prstGeom>
        <a:solidFill>
          <a:srgbClr val="7030A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RESTOCK THESE PRODUCTS</a:t>
          </a:r>
          <a:endParaRPr lang="en-US" sz="900" b="0">
            <a:solidFill>
              <a:schemeClr val="bg1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20</xdr:col>
      <xdr:colOff>22860</xdr:colOff>
      <xdr:row>12</xdr:row>
      <xdr:rowOff>7620</xdr:rowOff>
    </xdr:from>
    <xdr:to>
      <xdr:col>27</xdr:col>
      <xdr:colOff>198120</xdr:colOff>
      <xdr:row>30</xdr:row>
      <xdr:rowOff>22860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502920</xdr:colOff>
      <xdr:row>19</xdr:row>
      <xdr:rowOff>137160</xdr:rowOff>
    </xdr:from>
    <xdr:to>
      <xdr:col>19</xdr:col>
      <xdr:colOff>259080</xdr:colOff>
      <xdr:row>29</xdr:row>
      <xdr:rowOff>0</xdr:rowOff>
    </xdr:to>
    <xdr:sp macro="" textlink="">
      <xdr:nvSpPr>
        <xdr:cNvPr id="134" name="Rectangle: Rounded Corners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9646920" y="3611880"/>
          <a:ext cx="2194560" cy="1691640"/>
        </a:xfrm>
        <a:prstGeom prst="roundRect">
          <a:avLst>
            <a:gd name="adj" fmla="val 10898"/>
          </a:avLst>
        </a:prstGeom>
        <a:noFill/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586740</xdr:colOff>
      <xdr:row>13</xdr:row>
      <xdr:rowOff>83820</xdr:rowOff>
    </xdr:from>
    <xdr:to>
      <xdr:col>19</xdr:col>
      <xdr:colOff>228600</xdr:colOff>
      <xdr:row>17</xdr:row>
      <xdr:rowOff>91440</xdr:rowOff>
    </xdr:to>
    <xdr:sp macro="" textlink="">
      <xdr:nvSpPr>
        <xdr:cNvPr id="135" name="Rectangle: Rounded Corners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9730740" y="2461260"/>
          <a:ext cx="2080260" cy="739140"/>
        </a:xfrm>
        <a:prstGeom prst="roundRect">
          <a:avLst>
            <a:gd name="adj" fmla="val 10898"/>
          </a:avLst>
        </a:prstGeom>
        <a:solidFill>
          <a:srgbClr val="C00000">
            <a:alpha val="8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579120</xdr:colOff>
      <xdr:row>13</xdr:row>
      <xdr:rowOff>144780</xdr:rowOff>
    </xdr:from>
    <xdr:to>
      <xdr:col>17</xdr:col>
      <xdr:colOff>586740</xdr:colOff>
      <xdr:row>15</xdr:row>
      <xdr:rowOff>167640</xdr:rowOff>
    </xdr:to>
    <xdr:sp macro="" textlink="PivotTable!A27">
      <xdr:nvSpPr>
        <xdr:cNvPr id="136" name="TextBox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10332720" y="2522220"/>
          <a:ext cx="6172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E11AAF9-ABE1-4110-9E56-46EF9358CF81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5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16</xdr:col>
      <xdr:colOff>60960</xdr:colOff>
      <xdr:row>14</xdr:row>
      <xdr:rowOff>60960</xdr:rowOff>
    </xdr:from>
    <xdr:to>
      <xdr:col>16</xdr:col>
      <xdr:colOff>472440</xdr:colOff>
      <xdr:row>16</xdr:row>
      <xdr:rowOff>121920</xdr:rowOff>
    </xdr:to>
    <xdr:sp macro="" textlink="">
      <xdr:nvSpPr>
        <xdr:cNvPr id="137" name="Rectangle: Rounded Corners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9814560" y="2621280"/>
          <a:ext cx="411480" cy="426720"/>
        </a:xfrm>
        <a:prstGeom prst="roundRect">
          <a:avLst/>
        </a:prstGeom>
        <a:solidFill>
          <a:srgbClr val="C00000">
            <a:alpha val="22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541020</xdr:colOff>
      <xdr:row>15</xdr:row>
      <xdr:rowOff>106680</xdr:rowOff>
    </xdr:from>
    <xdr:to>
      <xdr:col>18</xdr:col>
      <xdr:colOff>365760</xdr:colOff>
      <xdr:row>17</xdr:row>
      <xdr:rowOff>22860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10294620" y="2849880"/>
          <a:ext cx="10439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Out of Stock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16</xdr:col>
      <xdr:colOff>152401</xdr:colOff>
      <xdr:row>14</xdr:row>
      <xdr:rowOff>137161</xdr:rowOff>
    </xdr:from>
    <xdr:to>
      <xdr:col>16</xdr:col>
      <xdr:colOff>396240</xdr:colOff>
      <xdr:row>16</xdr:row>
      <xdr:rowOff>15240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1" y="2697481"/>
          <a:ext cx="243839" cy="243839"/>
        </a:xfrm>
        <a:prstGeom prst="rect">
          <a:avLst/>
        </a:prstGeom>
      </xdr:spPr>
    </xdr:pic>
    <xdr:clientData/>
  </xdr:twoCellAnchor>
  <xdr:twoCellAnchor>
    <xdr:from>
      <xdr:col>15</xdr:col>
      <xdr:colOff>541020</xdr:colOff>
      <xdr:row>10</xdr:row>
      <xdr:rowOff>76200</xdr:rowOff>
    </xdr:from>
    <xdr:to>
      <xdr:col>17</xdr:col>
      <xdr:colOff>243840</xdr:colOff>
      <xdr:row>11</xdr:row>
      <xdr:rowOff>152400</xdr:rowOff>
    </xdr:to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9685020" y="1905000"/>
          <a:ext cx="9220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ysClr val="windowText" lastClr="0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0</xdr:col>
      <xdr:colOff>502920</xdr:colOff>
      <xdr:row>8</xdr:row>
      <xdr:rowOff>114300</xdr:rowOff>
    </xdr:from>
    <xdr:to>
      <xdr:col>3</xdr:col>
      <xdr:colOff>502920</xdr:colOff>
      <xdr:row>10</xdr:row>
      <xdr:rowOff>152400</xdr:rowOff>
    </xdr:to>
    <xdr:sp macro="" textlink="">
      <xdr:nvSpPr>
        <xdr:cNvPr id="143" name="TextBox 14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502920" y="1577340"/>
          <a:ext cx="182880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502920</xdr:colOff>
      <xdr:row>10</xdr:row>
      <xdr:rowOff>161925</xdr:rowOff>
    </xdr:from>
    <xdr:to>
      <xdr:col>2</xdr:col>
      <xdr:colOff>586740</xdr:colOff>
      <xdr:row>13</xdr:row>
      <xdr:rowOff>17145</xdr:rowOff>
    </xdr:to>
    <xdr:sp macro="" textlink="">
      <xdr:nvSpPr>
        <xdr:cNvPr id="74" name="TextBox 7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502920" y="199072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502920</xdr:colOff>
      <xdr:row>13</xdr:row>
      <xdr:rowOff>26670</xdr:rowOff>
    </xdr:from>
    <xdr:to>
      <xdr:col>2</xdr:col>
      <xdr:colOff>586740</xdr:colOff>
      <xdr:row>15</xdr:row>
      <xdr:rowOff>64770</xdr:rowOff>
    </xdr:to>
    <xdr:sp macro="" textlink="">
      <xdr:nvSpPr>
        <xdr:cNvPr id="76" name="TextBox 7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502920" y="240411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0</xdr:col>
      <xdr:colOff>502920</xdr:colOff>
      <xdr:row>15</xdr:row>
      <xdr:rowOff>74295</xdr:rowOff>
    </xdr:from>
    <xdr:to>
      <xdr:col>2</xdr:col>
      <xdr:colOff>586740</xdr:colOff>
      <xdr:row>17</xdr:row>
      <xdr:rowOff>112395</xdr:rowOff>
    </xdr:to>
    <xdr:sp macro="" textlink="">
      <xdr:nvSpPr>
        <xdr:cNvPr id="109" name="TextBox 10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502920" y="281749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0</xdr:col>
      <xdr:colOff>502920</xdr:colOff>
      <xdr:row>17</xdr:row>
      <xdr:rowOff>121920</xdr:rowOff>
    </xdr:from>
    <xdr:to>
      <xdr:col>2</xdr:col>
      <xdr:colOff>586740</xdr:colOff>
      <xdr:row>19</xdr:row>
      <xdr:rowOff>160020</xdr:rowOff>
    </xdr:to>
    <xdr:sp macro="" textlink="">
      <xdr:nvSpPr>
        <xdr:cNvPr id="116" name="TextBox 11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 txBox="1"/>
      </xdr:nvSpPr>
      <xdr:spPr>
        <a:xfrm>
          <a:off x="502920" y="323088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0</xdr:col>
      <xdr:colOff>502920</xdr:colOff>
      <xdr:row>19</xdr:row>
      <xdr:rowOff>169545</xdr:rowOff>
    </xdr:from>
    <xdr:to>
      <xdr:col>2</xdr:col>
      <xdr:colOff>586740</xdr:colOff>
      <xdr:row>22</xdr:row>
      <xdr:rowOff>24765</xdr:rowOff>
    </xdr:to>
    <xdr:sp macro="" textlink="">
      <xdr:nvSpPr>
        <xdr:cNvPr id="117" name="TextBox 11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502920" y="364426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0</xdr:col>
      <xdr:colOff>502920</xdr:colOff>
      <xdr:row>22</xdr:row>
      <xdr:rowOff>34290</xdr:rowOff>
    </xdr:from>
    <xdr:to>
      <xdr:col>3</xdr:col>
      <xdr:colOff>434340</xdr:colOff>
      <xdr:row>24</xdr:row>
      <xdr:rowOff>72390</xdr:rowOff>
    </xdr:to>
    <xdr:sp macro="" textlink="">
      <xdr:nvSpPr>
        <xdr:cNvPr id="118" name="TextBox 11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502920" y="405765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502920</xdr:colOff>
      <xdr:row>24</xdr:row>
      <xdr:rowOff>81915</xdr:rowOff>
    </xdr:from>
    <xdr:to>
      <xdr:col>2</xdr:col>
      <xdr:colOff>586740</xdr:colOff>
      <xdr:row>26</xdr:row>
      <xdr:rowOff>120015</xdr:rowOff>
    </xdr:to>
    <xdr:sp macro="" textlink="">
      <xdr:nvSpPr>
        <xdr:cNvPr id="119" name="TextBox 1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502920" y="447103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502920</xdr:colOff>
      <xdr:row>26</xdr:row>
      <xdr:rowOff>129540</xdr:rowOff>
    </xdr:from>
    <xdr:to>
      <xdr:col>2</xdr:col>
      <xdr:colOff>586740</xdr:colOff>
      <xdr:row>28</xdr:row>
      <xdr:rowOff>167640</xdr:rowOff>
    </xdr:to>
    <xdr:sp macro="" textlink="">
      <xdr:nvSpPr>
        <xdr:cNvPr id="120" name="TextBox 11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502920" y="48844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7</xdr:col>
      <xdr:colOff>152400</xdr:colOff>
      <xdr:row>4</xdr:row>
      <xdr:rowOff>137160</xdr:rowOff>
    </xdr:from>
    <xdr:to>
      <xdr:col>8</xdr:col>
      <xdr:colOff>198120</xdr:colOff>
      <xdr:row>6</xdr:row>
      <xdr:rowOff>53340</xdr:rowOff>
    </xdr:to>
    <xdr:sp macro="" textlink="PivotTable!S22">
      <xdr:nvSpPr>
        <xdr:cNvPr id="121" name="TextBox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 txBox="1"/>
      </xdr:nvSpPr>
      <xdr:spPr>
        <a:xfrm>
          <a:off x="4419600" y="868680"/>
          <a:ext cx="65532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A596901-164F-4505-9E2B-EE8A9949290E}" type="TxLink">
            <a:rPr lang="en-US" sz="1000" b="0" i="0" u="none" strike="noStrike">
              <a:solidFill>
                <a:srgbClr val="00B05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36.47%</a:t>
          </a:fld>
          <a:endParaRPr lang="en-US" sz="1050" b="0" i="0" u="none" strike="noStrike">
            <a:solidFill>
              <a:srgbClr val="00B05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335280</xdr:colOff>
      <xdr:row>10</xdr:row>
      <xdr:rowOff>99060</xdr:rowOff>
    </xdr:from>
    <xdr:to>
      <xdr:col>3</xdr:col>
      <xdr:colOff>472440</xdr:colOff>
      <xdr:row>10</xdr:row>
      <xdr:rowOff>114300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335280" y="19278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12</xdr:row>
      <xdr:rowOff>151311</xdr:rowOff>
    </xdr:from>
    <xdr:to>
      <xdr:col>3</xdr:col>
      <xdr:colOff>472440</xdr:colOff>
      <xdr:row>12</xdr:row>
      <xdr:rowOff>166551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CxnSpPr/>
      </xdr:nvCxnSpPr>
      <xdr:spPr>
        <a:xfrm>
          <a:off x="335280" y="234587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15</xdr:row>
      <xdr:rowOff>20682</xdr:rowOff>
    </xdr:from>
    <xdr:to>
      <xdr:col>3</xdr:col>
      <xdr:colOff>472440</xdr:colOff>
      <xdr:row>15</xdr:row>
      <xdr:rowOff>35922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335280" y="276388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17</xdr:row>
      <xdr:rowOff>72933</xdr:rowOff>
    </xdr:from>
    <xdr:to>
      <xdr:col>3</xdr:col>
      <xdr:colOff>472440</xdr:colOff>
      <xdr:row>17</xdr:row>
      <xdr:rowOff>88173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CxnSpPr/>
      </xdr:nvCxnSpPr>
      <xdr:spPr>
        <a:xfrm>
          <a:off x="335280" y="318189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19</xdr:row>
      <xdr:rowOff>125184</xdr:rowOff>
    </xdr:from>
    <xdr:to>
      <xdr:col>3</xdr:col>
      <xdr:colOff>472440</xdr:colOff>
      <xdr:row>19</xdr:row>
      <xdr:rowOff>140424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CxnSpPr/>
      </xdr:nvCxnSpPr>
      <xdr:spPr>
        <a:xfrm>
          <a:off x="335280" y="359990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21</xdr:row>
      <xdr:rowOff>177435</xdr:rowOff>
    </xdr:from>
    <xdr:to>
      <xdr:col>3</xdr:col>
      <xdr:colOff>472440</xdr:colOff>
      <xdr:row>22</xdr:row>
      <xdr:rowOff>9795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CxnSpPr/>
      </xdr:nvCxnSpPr>
      <xdr:spPr>
        <a:xfrm>
          <a:off x="335280" y="401791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24</xdr:row>
      <xdr:rowOff>46806</xdr:rowOff>
    </xdr:from>
    <xdr:to>
      <xdr:col>3</xdr:col>
      <xdr:colOff>472440</xdr:colOff>
      <xdr:row>24</xdr:row>
      <xdr:rowOff>62046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CxnSpPr/>
      </xdr:nvCxnSpPr>
      <xdr:spPr>
        <a:xfrm>
          <a:off x="335280" y="443592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26</xdr:row>
      <xdr:rowOff>99060</xdr:rowOff>
    </xdr:from>
    <xdr:to>
      <xdr:col>3</xdr:col>
      <xdr:colOff>472440</xdr:colOff>
      <xdr:row>26</xdr:row>
      <xdr:rowOff>114300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CxnSpPr/>
      </xdr:nvCxnSpPr>
      <xdr:spPr>
        <a:xfrm>
          <a:off x="335280" y="485394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53340</xdr:colOff>
      <xdr:row>5</xdr:row>
      <xdr:rowOff>106680</xdr:rowOff>
    </xdr:from>
    <xdr:to>
      <xdr:col>8</xdr:col>
      <xdr:colOff>259080</xdr:colOff>
      <xdr:row>7</xdr:row>
      <xdr:rowOff>22860</xdr:rowOff>
    </xdr:to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 txBox="1"/>
      </xdr:nvSpPr>
      <xdr:spPr>
        <a:xfrm>
          <a:off x="4320540" y="1021080"/>
          <a:ext cx="8153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Vs Last Week</a:t>
          </a:r>
          <a:endParaRPr lang="en-US" sz="8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106680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480061</xdr:colOff>
      <xdr:row>2</xdr:row>
      <xdr:rowOff>152399</xdr:rowOff>
    </xdr:from>
    <xdr:to>
      <xdr:col>4</xdr:col>
      <xdr:colOff>0</xdr:colOff>
      <xdr:row>7</xdr:row>
      <xdr:rowOff>182264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80061" y="51815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17</xdr:col>
      <xdr:colOff>388620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594360</xdr:colOff>
      <xdr:row>7</xdr:row>
      <xdr:rowOff>38100</xdr:rowOff>
    </xdr:from>
    <xdr:to>
      <xdr:col>7</xdr:col>
      <xdr:colOff>7620</xdr:colOff>
      <xdr:row>9</xdr:row>
      <xdr:rowOff>91440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32760" y="1318260"/>
          <a:ext cx="2849880" cy="419100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chemeClr val="bg1"/>
              </a:solidFill>
              <a:latin typeface="+mn-lt"/>
            </a:rPr>
            <a:t>Sales Entry</a:t>
          </a:r>
        </a:p>
      </xdr:txBody>
    </xdr:sp>
    <xdr:clientData/>
  </xdr:twoCellAnchor>
  <xdr:twoCellAnchor editAs="absolute">
    <xdr:from>
      <xdr:col>10</xdr:col>
      <xdr:colOff>563880</xdr:colOff>
      <xdr:row>7</xdr:row>
      <xdr:rowOff>30480</xdr:rowOff>
    </xdr:from>
    <xdr:to>
      <xdr:col>13</xdr:col>
      <xdr:colOff>15240</xdr:colOff>
      <xdr:row>9</xdr:row>
      <xdr:rowOff>83820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267700" y="1310640"/>
          <a:ext cx="2849880" cy="419100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chemeClr val="bg1"/>
              </a:solidFill>
              <a:latin typeface="+mn-lt"/>
            </a:rPr>
            <a:t>Purchase</a:t>
          </a:r>
          <a:r>
            <a:rPr lang="en-US" sz="2000" b="1" baseline="0">
              <a:solidFill>
                <a:schemeClr val="bg1"/>
              </a:solidFill>
              <a:latin typeface="+mn-lt"/>
            </a:rPr>
            <a:t> </a:t>
          </a:r>
          <a:r>
            <a:rPr lang="en-US" sz="2000" b="1">
              <a:solidFill>
                <a:schemeClr val="bg1"/>
              </a:solidFill>
              <a:latin typeface="+mn-lt"/>
            </a:rPr>
            <a:t>Entry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198120</xdr:colOff>
          <xdr:row>15</xdr:row>
          <xdr:rowOff>114300</xdr:rowOff>
        </xdr:from>
        <xdr:to>
          <xdr:col>8</xdr:col>
          <xdr:colOff>548640</xdr:colOff>
          <xdr:row>17</xdr:row>
          <xdr:rowOff>114300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259080</xdr:colOff>
          <xdr:row>15</xdr:row>
          <xdr:rowOff>53340</xdr:rowOff>
        </xdr:from>
        <xdr:to>
          <xdr:col>15</xdr:col>
          <xdr:colOff>15240</xdr:colOff>
          <xdr:row>17</xdr:row>
          <xdr:rowOff>76200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571500</xdr:colOff>
      <xdr:row>1</xdr:row>
      <xdr:rowOff>106680</xdr:rowOff>
    </xdr:from>
    <xdr:to>
      <xdr:col>6</xdr:col>
      <xdr:colOff>960120</xdr:colOff>
      <xdr:row>4</xdr:row>
      <xdr:rowOff>152400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3009900" y="28956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New</a:t>
          </a:r>
          <a:r>
            <a:rPr lang="en-US" sz="2600" b="1" baseline="0">
              <a:latin typeface="Segoe UI" panose="020B0502040204020203" pitchFamily="34" charset="0"/>
              <a:cs typeface="Segoe UI" panose="020B0502040204020203" pitchFamily="34" charset="0"/>
            </a:rPr>
            <a:t> Entry</a:t>
          </a:r>
          <a:endParaRPr lang="en-US" sz="2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381000</xdr:colOff>
      <xdr:row>8</xdr:row>
      <xdr:rowOff>144780</xdr:rowOff>
    </xdr:from>
    <xdr:to>
      <xdr:col>4</xdr:col>
      <xdr:colOff>83820</xdr:colOff>
      <xdr:row>29</xdr:row>
      <xdr:rowOff>7620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1000" y="16078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</xdr:colOff>
      <xdr:row>8</xdr:row>
      <xdr:rowOff>160020</xdr:rowOff>
    </xdr:from>
    <xdr:to>
      <xdr:col>3</xdr:col>
      <xdr:colOff>114300</xdr:colOff>
      <xdr:row>11</xdr:row>
      <xdr:rowOff>7620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640080" y="16230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30480</xdr:colOff>
      <xdr:row>11</xdr:row>
      <xdr:rowOff>17145</xdr:rowOff>
    </xdr:from>
    <xdr:to>
      <xdr:col>3</xdr:col>
      <xdr:colOff>114300</xdr:colOff>
      <xdr:row>13</xdr:row>
      <xdr:rowOff>55245</xdr:rowOff>
    </xdr:to>
    <xdr:sp macro="" textlink="">
      <xdr:nvSpPr>
        <xdr:cNvPr id="13" name="TextBox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640080" y="20364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30480</xdr:colOff>
      <xdr:row>13</xdr:row>
      <xdr:rowOff>64770</xdr:rowOff>
    </xdr:from>
    <xdr:to>
      <xdr:col>3</xdr:col>
      <xdr:colOff>114300</xdr:colOff>
      <xdr:row>15</xdr:row>
      <xdr:rowOff>102870</xdr:rowOff>
    </xdr:to>
    <xdr:sp macro="" textlink="">
      <xdr:nvSpPr>
        <xdr:cNvPr id="14" name="TextBox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640080" y="24498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30480</xdr:colOff>
      <xdr:row>15</xdr:row>
      <xdr:rowOff>112395</xdr:rowOff>
    </xdr:from>
    <xdr:to>
      <xdr:col>3</xdr:col>
      <xdr:colOff>114300</xdr:colOff>
      <xdr:row>17</xdr:row>
      <xdr:rowOff>150495</xdr:rowOff>
    </xdr:to>
    <xdr:sp macro="" textlink="">
      <xdr:nvSpPr>
        <xdr:cNvPr id="15" name="TextBox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640080" y="28632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30480</xdr:colOff>
      <xdr:row>17</xdr:row>
      <xdr:rowOff>160020</xdr:rowOff>
    </xdr:from>
    <xdr:to>
      <xdr:col>3</xdr:col>
      <xdr:colOff>114300</xdr:colOff>
      <xdr:row>20</xdr:row>
      <xdr:rowOff>0</xdr:rowOff>
    </xdr:to>
    <xdr:sp macro="" textlink="">
      <xdr:nvSpPr>
        <xdr:cNvPr id="16" name="TextBox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640080" y="32766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30480</xdr:colOff>
      <xdr:row>20</xdr:row>
      <xdr:rowOff>9525</xdr:rowOff>
    </xdr:from>
    <xdr:to>
      <xdr:col>3</xdr:col>
      <xdr:colOff>114300</xdr:colOff>
      <xdr:row>22</xdr:row>
      <xdr:rowOff>47625</xdr:rowOff>
    </xdr:to>
    <xdr:sp macro="" textlink="">
      <xdr:nvSpPr>
        <xdr:cNvPr id="17" name="TextBox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40080" y="36899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30480</xdr:colOff>
      <xdr:row>22</xdr:row>
      <xdr:rowOff>57150</xdr:rowOff>
    </xdr:from>
    <xdr:to>
      <xdr:col>3</xdr:col>
      <xdr:colOff>571500</xdr:colOff>
      <xdr:row>24</xdr:row>
      <xdr:rowOff>95250</xdr:rowOff>
    </xdr:to>
    <xdr:sp macro="" textlink="">
      <xdr:nvSpPr>
        <xdr:cNvPr id="18" name="TextBox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40080" y="41033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30480</xdr:colOff>
      <xdr:row>24</xdr:row>
      <xdr:rowOff>104775</xdr:rowOff>
    </xdr:from>
    <xdr:to>
      <xdr:col>3</xdr:col>
      <xdr:colOff>114300</xdr:colOff>
      <xdr:row>26</xdr:row>
      <xdr:rowOff>142875</xdr:rowOff>
    </xdr:to>
    <xdr:sp macro="" textlink="">
      <xdr:nvSpPr>
        <xdr:cNvPr id="19" name="TextBox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640080" y="45167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30480</xdr:colOff>
      <xdr:row>26</xdr:row>
      <xdr:rowOff>152400</xdr:rowOff>
    </xdr:from>
    <xdr:to>
      <xdr:col>3</xdr:col>
      <xdr:colOff>114300</xdr:colOff>
      <xdr:row>29</xdr:row>
      <xdr:rowOff>7620</xdr:rowOff>
    </xdr:to>
    <xdr:sp macro="" textlink="">
      <xdr:nvSpPr>
        <xdr:cNvPr id="20" name="TextBox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640080" y="49301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472440</xdr:colOff>
      <xdr:row>10</xdr:row>
      <xdr:rowOff>137160</xdr:rowOff>
    </xdr:from>
    <xdr:to>
      <xdr:col>4</xdr:col>
      <xdr:colOff>0</xdr:colOff>
      <xdr:row>10</xdr:row>
      <xdr:rowOff>152400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472440" y="19735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13</xdr:row>
      <xdr:rowOff>6531</xdr:rowOff>
    </xdr:from>
    <xdr:to>
      <xdr:col>4</xdr:col>
      <xdr:colOff>0</xdr:colOff>
      <xdr:row>13</xdr:row>
      <xdr:rowOff>21771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472440" y="23915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15</xdr:row>
      <xdr:rowOff>58782</xdr:rowOff>
    </xdr:from>
    <xdr:to>
      <xdr:col>4</xdr:col>
      <xdr:colOff>0</xdr:colOff>
      <xdr:row>15</xdr:row>
      <xdr:rowOff>74022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472440" y="28096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17</xdr:row>
      <xdr:rowOff>111033</xdr:rowOff>
    </xdr:from>
    <xdr:to>
      <xdr:col>4</xdr:col>
      <xdr:colOff>0</xdr:colOff>
      <xdr:row>17</xdr:row>
      <xdr:rowOff>126273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472440" y="32276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19</xdr:row>
      <xdr:rowOff>148044</xdr:rowOff>
    </xdr:from>
    <xdr:to>
      <xdr:col>4</xdr:col>
      <xdr:colOff>0</xdr:colOff>
      <xdr:row>19</xdr:row>
      <xdr:rowOff>163284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472440" y="36456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22</xdr:row>
      <xdr:rowOff>17415</xdr:rowOff>
    </xdr:from>
    <xdr:to>
      <xdr:col>4</xdr:col>
      <xdr:colOff>0</xdr:colOff>
      <xdr:row>22</xdr:row>
      <xdr:rowOff>32655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472440" y="40636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24</xdr:row>
      <xdr:rowOff>69666</xdr:rowOff>
    </xdr:from>
    <xdr:to>
      <xdr:col>4</xdr:col>
      <xdr:colOff>0</xdr:colOff>
      <xdr:row>24</xdr:row>
      <xdr:rowOff>84906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472440" y="44816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26</xdr:row>
      <xdr:rowOff>121920</xdr:rowOff>
    </xdr:from>
    <xdr:to>
      <xdr:col>4</xdr:col>
      <xdr:colOff>0</xdr:colOff>
      <xdr:row>26</xdr:row>
      <xdr:rowOff>137160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472440" y="48996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449581</xdr:colOff>
      <xdr:row>3</xdr:row>
      <xdr:rowOff>53339</xdr:rowOff>
    </xdr:from>
    <xdr:to>
      <xdr:col>3</xdr:col>
      <xdr:colOff>579120</xdr:colOff>
      <xdr:row>8</xdr:row>
      <xdr:rowOff>83204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49581" y="60197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20</xdr:col>
      <xdr:colOff>38100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601980</xdr:colOff>
      <xdr:row>1</xdr:row>
      <xdr:rowOff>106680</xdr:rowOff>
    </xdr:from>
    <xdr:to>
      <xdr:col>7</xdr:col>
      <xdr:colOff>464820</xdr:colOff>
      <xdr:row>4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040380" y="28956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Sales</a:t>
          </a:r>
        </a:p>
      </xdr:txBody>
    </xdr:sp>
    <xdr:clientData/>
  </xdr:twoCellAnchor>
  <xdr:twoCellAnchor>
    <xdr:from>
      <xdr:col>0</xdr:col>
      <xdr:colOff>373380</xdr:colOff>
      <xdr:row>9</xdr:row>
      <xdr:rowOff>38100</xdr:rowOff>
    </xdr:from>
    <xdr:to>
      <xdr:col>4</xdr:col>
      <xdr:colOff>76200</xdr:colOff>
      <xdr:row>29</xdr:row>
      <xdr:rowOff>106680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73380" y="16840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</xdr:colOff>
      <xdr:row>9</xdr:row>
      <xdr:rowOff>53340</xdr:rowOff>
    </xdr:from>
    <xdr:to>
      <xdr:col>3</xdr:col>
      <xdr:colOff>106680</xdr:colOff>
      <xdr:row>11</xdr:row>
      <xdr:rowOff>91440</xdr:rowOff>
    </xdr:to>
    <xdr:sp macro="" textlink="">
      <xdr:nvSpPr>
        <xdr:cNvPr id="27" name="TextBox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32460" y="16992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22860</xdr:colOff>
      <xdr:row>11</xdr:row>
      <xdr:rowOff>100965</xdr:rowOff>
    </xdr:from>
    <xdr:to>
      <xdr:col>3</xdr:col>
      <xdr:colOff>106680</xdr:colOff>
      <xdr:row>13</xdr:row>
      <xdr:rowOff>139065</xdr:rowOff>
    </xdr:to>
    <xdr:sp macro="" textlink="">
      <xdr:nvSpPr>
        <xdr:cNvPr id="28" name="TextBox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632460" y="21126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13</xdr:row>
      <xdr:rowOff>148590</xdr:rowOff>
    </xdr:from>
    <xdr:to>
      <xdr:col>3</xdr:col>
      <xdr:colOff>106680</xdr:colOff>
      <xdr:row>16</xdr:row>
      <xdr:rowOff>3810</xdr:rowOff>
    </xdr:to>
    <xdr:sp macro="" textlink="">
      <xdr:nvSpPr>
        <xdr:cNvPr id="29" name="TextBox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632460" y="25260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22860</xdr:colOff>
      <xdr:row>16</xdr:row>
      <xdr:rowOff>13335</xdr:rowOff>
    </xdr:from>
    <xdr:to>
      <xdr:col>3</xdr:col>
      <xdr:colOff>106680</xdr:colOff>
      <xdr:row>18</xdr:row>
      <xdr:rowOff>51435</xdr:rowOff>
    </xdr:to>
    <xdr:sp macro="" textlink="">
      <xdr:nvSpPr>
        <xdr:cNvPr id="30" name="TextBox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2460" y="29394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22860</xdr:colOff>
      <xdr:row>18</xdr:row>
      <xdr:rowOff>60960</xdr:rowOff>
    </xdr:from>
    <xdr:to>
      <xdr:col>3</xdr:col>
      <xdr:colOff>106680</xdr:colOff>
      <xdr:row>20</xdr:row>
      <xdr:rowOff>99060</xdr:rowOff>
    </xdr:to>
    <xdr:sp macro="" textlink="">
      <xdr:nvSpPr>
        <xdr:cNvPr id="31" name="TextBox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32460" y="33528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22860</xdr:colOff>
      <xdr:row>20</xdr:row>
      <xdr:rowOff>108585</xdr:rowOff>
    </xdr:from>
    <xdr:to>
      <xdr:col>3</xdr:col>
      <xdr:colOff>106680</xdr:colOff>
      <xdr:row>22</xdr:row>
      <xdr:rowOff>146685</xdr:rowOff>
    </xdr:to>
    <xdr:sp macro="" textlink="">
      <xdr:nvSpPr>
        <xdr:cNvPr id="32" name="TextBox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632460" y="37661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22860</xdr:colOff>
      <xdr:row>22</xdr:row>
      <xdr:rowOff>156210</xdr:rowOff>
    </xdr:from>
    <xdr:to>
      <xdr:col>3</xdr:col>
      <xdr:colOff>563880</xdr:colOff>
      <xdr:row>25</xdr:row>
      <xdr:rowOff>11430</xdr:rowOff>
    </xdr:to>
    <xdr:sp macro="" textlink="">
      <xdr:nvSpPr>
        <xdr:cNvPr id="33" name="TextBox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632460" y="41795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25</xdr:row>
      <xdr:rowOff>20955</xdr:rowOff>
    </xdr:from>
    <xdr:to>
      <xdr:col>3</xdr:col>
      <xdr:colOff>106680</xdr:colOff>
      <xdr:row>27</xdr:row>
      <xdr:rowOff>59055</xdr:rowOff>
    </xdr:to>
    <xdr:sp macro="" textlink="">
      <xdr:nvSpPr>
        <xdr:cNvPr id="34" name="TextBox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632460" y="45929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27</xdr:row>
      <xdr:rowOff>68580</xdr:rowOff>
    </xdr:from>
    <xdr:to>
      <xdr:col>3</xdr:col>
      <xdr:colOff>106680</xdr:colOff>
      <xdr:row>29</xdr:row>
      <xdr:rowOff>106680</xdr:rowOff>
    </xdr:to>
    <xdr:sp macro="" textlink="">
      <xdr:nvSpPr>
        <xdr:cNvPr id="35" name="TextBox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632460" y="50063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464820</xdr:colOff>
      <xdr:row>11</xdr:row>
      <xdr:rowOff>38100</xdr:rowOff>
    </xdr:from>
    <xdr:to>
      <xdr:col>3</xdr:col>
      <xdr:colOff>601980</xdr:colOff>
      <xdr:row>11</xdr:row>
      <xdr:rowOff>53340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464820" y="20497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13</xdr:row>
      <xdr:rowOff>90351</xdr:rowOff>
    </xdr:from>
    <xdr:to>
      <xdr:col>3</xdr:col>
      <xdr:colOff>601980</xdr:colOff>
      <xdr:row>13</xdr:row>
      <xdr:rowOff>105591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464820" y="24677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15</xdr:row>
      <xdr:rowOff>142602</xdr:rowOff>
    </xdr:from>
    <xdr:to>
      <xdr:col>3</xdr:col>
      <xdr:colOff>601980</xdr:colOff>
      <xdr:row>15</xdr:row>
      <xdr:rowOff>157842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464820" y="28858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18</xdr:row>
      <xdr:rowOff>11973</xdr:rowOff>
    </xdr:from>
    <xdr:to>
      <xdr:col>3</xdr:col>
      <xdr:colOff>601980</xdr:colOff>
      <xdr:row>18</xdr:row>
      <xdr:rowOff>27213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464820" y="33038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20</xdr:row>
      <xdr:rowOff>64224</xdr:rowOff>
    </xdr:from>
    <xdr:to>
      <xdr:col>3</xdr:col>
      <xdr:colOff>601980</xdr:colOff>
      <xdr:row>20</xdr:row>
      <xdr:rowOff>79464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464820" y="37218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22</xdr:row>
      <xdr:rowOff>116475</xdr:rowOff>
    </xdr:from>
    <xdr:to>
      <xdr:col>3</xdr:col>
      <xdr:colOff>601980</xdr:colOff>
      <xdr:row>22</xdr:row>
      <xdr:rowOff>131715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464820" y="41398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24</xdr:row>
      <xdr:rowOff>168726</xdr:rowOff>
    </xdr:from>
    <xdr:to>
      <xdr:col>3</xdr:col>
      <xdr:colOff>601980</xdr:colOff>
      <xdr:row>25</xdr:row>
      <xdr:rowOff>1086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464820" y="45578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27</xdr:row>
      <xdr:rowOff>38100</xdr:rowOff>
    </xdr:from>
    <xdr:to>
      <xdr:col>3</xdr:col>
      <xdr:colOff>601980</xdr:colOff>
      <xdr:row>27</xdr:row>
      <xdr:rowOff>53340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464820" y="49758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457201</xdr:colOff>
      <xdr:row>3</xdr:row>
      <xdr:rowOff>83819</xdr:rowOff>
    </xdr:from>
    <xdr:to>
      <xdr:col>3</xdr:col>
      <xdr:colOff>586740</xdr:colOff>
      <xdr:row>8</xdr:row>
      <xdr:rowOff>113684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57201" y="63245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19</xdr:col>
      <xdr:colOff>335280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579120</xdr:colOff>
      <xdr:row>1</xdr:row>
      <xdr:rowOff>114300</xdr:rowOff>
    </xdr:from>
    <xdr:to>
      <xdr:col>7</xdr:col>
      <xdr:colOff>114300</xdr:colOff>
      <xdr:row>4</xdr:row>
      <xdr:rowOff>160020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017520" y="29718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Purchase</a:t>
          </a:r>
        </a:p>
      </xdr:txBody>
    </xdr:sp>
    <xdr:clientData/>
  </xdr:twoCellAnchor>
  <xdr:twoCellAnchor>
    <xdr:from>
      <xdr:col>0</xdr:col>
      <xdr:colOff>373380</xdr:colOff>
      <xdr:row>9</xdr:row>
      <xdr:rowOff>0</xdr:rowOff>
    </xdr:from>
    <xdr:to>
      <xdr:col>4</xdr:col>
      <xdr:colOff>76200</xdr:colOff>
      <xdr:row>29</xdr:row>
      <xdr:rowOff>68580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73380" y="16459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</xdr:colOff>
      <xdr:row>9</xdr:row>
      <xdr:rowOff>15240</xdr:rowOff>
    </xdr:from>
    <xdr:to>
      <xdr:col>3</xdr:col>
      <xdr:colOff>106680</xdr:colOff>
      <xdr:row>11</xdr:row>
      <xdr:rowOff>53340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632460" y="16611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22860</xdr:colOff>
      <xdr:row>11</xdr:row>
      <xdr:rowOff>62865</xdr:rowOff>
    </xdr:from>
    <xdr:to>
      <xdr:col>3</xdr:col>
      <xdr:colOff>106680</xdr:colOff>
      <xdr:row>13</xdr:row>
      <xdr:rowOff>100965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632460" y="20745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13</xdr:row>
      <xdr:rowOff>110490</xdr:rowOff>
    </xdr:from>
    <xdr:to>
      <xdr:col>3</xdr:col>
      <xdr:colOff>106680</xdr:colOff>
      <xdr:row>15</xdr:row>
      <xdr:rowOff>148590</xdr:rowOff>
    </xdr:to>
    <xdr:sp macro="" textlink="">
      <xdr:nvSpPr>
        <xdr:cNvPr id="9" name="TextBox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632460" y="24879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22860</xdr:colOff>
      <xdr:row>15</xdr:row>
      <xdr:rowOff>158115</xdr:rowOff>
    </xdr:from>
    <xdr:to>
      <xdr:col>3</xdr:col>
      <xdr:colOff>106680</xdr:colOff>
      <xdr:row>18</xdr:row>
      <xdr:rowOff>13335</xdr:rowOff>
    </xdr:to>
    <xdr:sp macro="" textlink="">
      <xdr:nvSpPr>
        <xdr:cNvPr id="10" name="TextBox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632460" y="29013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22860</xdr:colOff>
      <xdr:row>18</xdr:row>
      <xdr:rowOff>22860</xdr:rowOff>
    </xdr:from>
    <xdr:to>
      <xdr:col>3</xdr:col>
      <xdr:colOff>106680</xdr:colOff>
      <xdr:row>20</xdr:row>
      <xdr:rowOff>60960</xdr:rowOff>
    </xdr:to>
    <xdr:sp macro="" textlink="">
      <xdr:nvSpPr>
        <xdr:cNvPr id="11" name="TextBox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632460" y="33147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22860</xdr:colOff>
      <xdr:row>20</xdr:row>
      <xdr:rowOff>70485</xdr:rowOff>
    </xdr:from>
    <xdr:to>
      <xdr:col>3</xdr:col>
      <xdr:colOff>106680</xdr:colOff>
      <xdr:row>22</xdr:row>
      <xdr:rowOff>108585</xdr:rowOff>
    </xdr:to>
    <xdr:sp macro="" textlink="">
      <xdr:nvSpPr>
        <xdr:cNvPr id="12" name="TextBox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632460" y="37280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22860</xdr:colOff>
      <xdr:row>22</xdr:row>
      <xdr:rowOff>118110</xdr:rowOff>
    </xdr:from>
    <xdr:to>
      <xdr:col>3</xdr:col>
      <xdr:colOff>563880</xdr:colOff>
      <xdr:row>24</xdr:row>
      <xdr:rowOff>156210</xdr:rowOff>
    </xdr:to>
    <xdr:sp macro="" textlink="">
      <xdr:nvSpPr>
        <xdr:cNvPr id="13" name="TextBox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32460" y="41414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24</xdr:row>
      <xdr:rowOff>165735</xdr:rowOff>
    </xdr:from>
    <xdr:to>
      <xdr:col>3</xdr:col>
      <xdr:colOff>106680</xdr:colOff>
      <xdr:row>27</xdr:row>
      <xdr:rowOff>20955</xdr:rowOff>
    </xdr:to>
    <xdr:sp macro="" textlink="">
      <xdr:nvSpPr>
        <xdr:cNvPr id="14" name="TextBox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32460" y="45548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27</xdr:row>
      <xdr:rowOff>30480</xdr:rowOff>
    </xdr:from>
    <xdr:to>
      <xdr:col>3</xdr:col>
      <xdr:colOff>106680</xdr:colOff>
      <xdr:row>29</xdr:row>
      <xdr:rowOff>68580</xdr:rowOff>
    </xdr:to>
    <xdr:sp macro="" textlink="">
      <xdr:nvSpPr>
        <xdr:cNvPr id="15" name="TextBox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632460" y="49682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464820</xdr:colOff>
      <xdr:row>11</xdr:row>
      <xdr:rowOff>0</xdr:rowOff>
    </xdr:from>
    <xdr:to>
      <xdr:col>3</xdr:col>
      <xdr:colOff>601980</xdr:colOff>
      <xdr:row>11</xdr:row>
      <xdr:rowOff>15240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464820" y="20116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13</xdr:row>
      <xdr:rowOff>52251</xdr:rowOff>
    </xdr:from>
    <xdr:to>
      <xdr:col>3</xdr:col>
      <xdr:colOff>601980</xdr:colOff>
      <xdr:row>13</xdr:row>
      <xdr:rowOff>67491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464820" y="24296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15</xdr:row>
      <xdr:rowOff>104502</xdr:rowOff>
    </xdr:from>
    <xdr:to>
      <xdr:col>3</xdr:col>
      <xdr:colOff>601980</xdr:colOff>
      <xdr:row>15</xdr:row>
      <xdr:rowOff>119742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464820" y="28477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17</xdr:row>
      <xdr:rowOff>156753</xdr:rowOff>
    </xdr:from>
    <xdr:to>
      <xdr:col>3</xdr:col>
      <xdr:colOff>601980</xdr:colOff>
      <xdr:row>17</xdr:row>
      <xdr:rowOff>171993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464820" y="32657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20</xdr:row>
      <xdr:rowOff>26124</xdr:rowOff>
    </xdr:from>
    <xdr:to>
      <xdr:col>3</xdr:col>
      <xdr:colOff>601980</xdr:colOff>
      <xdr:row>20</xdr:row>
      <xdr:rowOff>41364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>
          <a:off x="464820" y="36837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22</xdr:row>
      <xdr:rowOff>78375</xdr:rowOff>
    </xdr:from>
    <xdr:to>
      <xdr:col>3</xdr:col>
      <xdr:colOff>601980</xdr:colOff>
      <xdr:row>22</xdr:row>
      <xdr:rowOff>93615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464820" y="41017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24</xdr:row>
      <xdr:rowOff>130626</xdr:rowOff>
    </xdr:from>
    <xdr:to>
      <xdr:col>3</xdr:col>
      <xdr:colOff>601980</xdr:colOff>
      <xdr:row>24</xdr:row>
      <xdr:rowOff>145866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>
          <a:off x="464820" y="45197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27</xdr:row>
      <xdr:rowOff>0</xdr:rowOff>
    </xdr:from>
    <xdr:to>
      <xdr:col>3</xdr:col>
      <xdr:colOff>601980</xdr:colOff>
      <xdr:row>27</xdr:row>
      <xdr:rowOff>15240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464820" y="49377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464821</xdr:colOff>
      <xdr:row>3</xdr:row>
      <xdr:rowOff>68579</xdr:rowOff>
    </xdr:from>
    <xdr:to>
      <xdr:col>3</xdr:col>
      <xdr:colOff>594360</xdr:colOff>
      <xdr:row>8</xdr:row>
      <xdr:rowOff>98444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6482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17</xdr:col>
      <xdr:colOff>289560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541020</xdr:colOff>
      <xdr:row>1</xdr:row>
      <xdr:rowOff>129540</xdr:rowOff>
    </xdr:from>
    <xdr:to>
      <xdr:col>6</xdr:col>
      <xdr:colOff>1074420</xdr:colOff>
      <xdr:row>4</xdr:row>
      <xdr:rowOff>175260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2979420" y="31242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Inventory</a:t>
          </a:r>
        </a:p>
      </xdr:txBody>
    </xdr:sp>
    <xdr:clientData/>
  </xdr:twoCellAnchor>
  <xdr:twoCellAnchor>
    <xdr:from>
      <xdr:col>0</xdr:col>
      <xdr:colOff>365760</xdr:colOff>
      <xdr:row>8</xdr:row>
      <xdr:rowOff>152400</xdr:rowOff>
    </xdr:from>
    <xdr:to>
      <xdr:col>4</xdr:col>
      <xdr:colOff>68580</xdr:colOff>
      <xdr:row>29</xdr:row>
      <xdr:rowOff>38100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65760" y="161544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167640</xdr:rowOff>
    </xdr:from>
    <xdr:to>
      <xdr:col>3</xdr:col>
      <xdr:colOff>99060</xdr:colOff>
      <xdr:row>11</xdr:row>
      <xdr:rowOff>22860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24840" y="163068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32385</xdr:rowOff>
    </xdr:from>
    <xdr:to>
      <xdr:col>3</xdr:col>
      <xdr:colOff>99060</xdr:colOff>
      <xdr:row>13</xdr:row>
      <xdr:rowOff>70485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624840" y="204406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80010</xdr:rowOff>
    </xdr:from>
    <xdr:to>
      <xdr:col>3</xdr:col>
      <xdr:colOff>99060</xdr:colOff>
      <xdr:row>15</xdr:row>
      <xdr:rowOff>118110</xdr:rowOff>
    </xdr:to>
    <xdr:sp macro="" textlink="">
      <xdr:nvSpPr>
        <xdr:cNvPr id="9" name="TextBox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624840" y="245745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127635</xdr:rowOff>
    </xdr:from>
    <xdr:to>
      <xdr:col>3</xdr:col>
      <xdr:colOff>99060</xdr:colOff>
      <xdr:row>17</xdr:row>
      <xdr:rowOff>165735</xdr:rowOff>
    </xdr:to>
    <xdr:sp macro="" textlink="">
      <xdr:nvSpPr>
        <xdr:cNvPr id="10" name="TextBox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624840" y="287083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175260</xdr:rowOff>
    </xdr:from>
    <xdr:to>
      <xdr:col>3</xdr:col>
      <xdr:colOff>99060</xdr:colOff>
      <xdr:row>20</xdr:row>
      <xdr:rowOff>30480</xdr:rowOff>
    </xdr:to>
    <xdr:sp macro="" textlink="">
      <xdr:nvSpPr>
        <xdr:cNvPr id="11" name="TextBox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624840" y="32842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40005</xdr:rowOff>
    </xdr:from>
    <xdr:to>
      <xdr:col>3</xdr:col>
      <xdr:colOff>99060</xdr:colOff>
      <xdr:row>22</xdr:row>
      <xdr:rowOff>78105</xdr:rowOff>
    </xdr:to>
    <xdr:sp macro="" textlink="">
      <xdr:nvSpPr>
        <xdr:cNvPr id="12" name="TextBox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624840" y="36976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87630</xdr:rowOff>
    </xdr:from>
    <xdr:to>
      <xdr:col>3</xdr:col>
      <xdr:colOff>556260</xdr:colOff>
      <xdr:row>24</xdr:row>
      <xdr:rowOff>125730</xdr:rowOff>
    </xdr:to>
    <xdr:sp macro="" textlink="">
      <xdr:nvSpPr>
        <xdr:cNvPr id="13" name="TextBox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624840" y="411099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135255</xdr:rowOff>
    </xdr:from>
    <xdr:to>
      <xdr:col>3</xdr:col>
      <xdr:colOff>99060</xdr:colOff>
      <xdr:row>26</xdr:row>
      <xdr:rowOff>173355</xdr:rowOff>
    </xdr:to>
    <xdr:sp macro="" textlink="">
      <xdr:nvSpPr>
        <xdr:cNvPr id="14" name="TextBox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624840" y="45243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27</xdr:row>
      <xdr:rowOff>0</xdr:rowOff>
    </xdr:from>
    <xdr:to>
      <xdr:col>3</xdr:col>
      <xdr:colOff>99060</xdr:colOff>
      <xdr:row>29</xdr:row>
      <xdr:rowOff>38100</xdr:rowOff>
    </xdr:to>
    <xdr:sp macro="" textlink="">
      <xdr:nvSpPr>
        <xdr:cNvPr id="15" name="TextBox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624840" y="49377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152400</xdr:rowOff>
    </xdr:from>
    <xdr:to>
      <xdr:col>3</xdr:col>
      <xdr:colOff>594360</xdr:colOff>
      <xdr:row>10</xdr:row>
      <xdr:rowOff>167640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457200" y="198120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13</xdr:row>
      <xdr:rowOff>21771</xdr:rowOff>
    </xdr:from>
    <xdr:to>
      <xdr:col>3</xdr:col>
      <xdr:colOff>594360</xdr:colOff>
      <xdr:row>13</xdr:row>
      <xdr:rowOff>37011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>
          <a:off x="457200" y="239921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74022</xdr:rowOff>
    </xdr:from>
    <xdr:to>
      <xdr:col>3</xdr:col>
      <xdr:colOff>594360</xdr:colOff>
      <xdr:row>15</xdr:row>
      <xdr:rowOff>89262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>
          <a:off x="457200" y="281722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126273</xdr:rowOff>
    </xdr:from>
    <xdr:to>
      <xdr:col>3</xdr:col>
      <xdr:colOff>594360</xdr:colOff>
      <xdr:row>17</xdr:row>
      <xdr:rowOff>141513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457200" y="323523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178524</xdr:rowOff>
    </xdr:from>
    <xdr:to>
      <xdr:col>3</xdr:col>
      <xdr:colOff>594360</xdr:colOff>
      <xdr:row>20</xdr:row>
      <xdr:rowOff>10884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>
          <a:off x="457200" y="365324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47895</xdr:rowOff>
    </xdr:from>
    <xdr:to>
      <xdr:col>3</xdr:col>
      <xdr:colOff>594360</xdr:colOff>
      <xdr:row>22</xdr:row>
      <xdr:rowOff>63135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457200" y="407125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100146</xdr:rowOff>
    </xdr:from>
    <xdr:to>
      <xdr:col>3</xdr:col>
      <xdr:colOff>594360</xdr:colOff>
      <xdr:row>24</xdr:row>
      <xdr:rowOff>115386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>
          <a:off x="457200" y="448926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152400</xdr:rowOff>
    </xdr:from>
    <xdr:to>
      <xdr:col>3</xdr:col>
      <xdr:colOff>594360</xdr:colOff>
      <xdr:row>26</xdr:row>
      <xdr:rowOff>167640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457200" y="49072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441961</xdr:colOff>
      <xdr:row>3</xdr:row>
      <xdr:rowOff>68579</xdr:rowOff>
    </xdr:from>
    <xdr:to>
      <xdr:col>3</xdr:col>
      <xdr:colOff>571500</xdr:colOff>
      <xdr:row>8</xdr:row>
      <xdr:rowOff>98444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4196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19</xdr:col>
      <xdr:colOff>441960</xdr:colOff>
      <xdr:row>5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533400</xdr:colOff>
      <xdr:row>1</xdr:row>
      <xdr:rowOff>137160</xdr:rowOff>
    </xdr:from>
    <xdr:to>
      <xdr:col>6</xdr:col>
      <xdr:colOff>1066800</xdr:colOff>
      <xdr:row>5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2971800" y="32004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Products</a:t>
          </a:r>
        </a:p>
      </xdr:txBody>
    </xdr:sp>
    <xdr:clientData/>
  </xdr:twoCellAnchor>
  <xdr:twoCellAnchor>
    <xdr:from>
      <xdr:col>0</xdr:col>
      <xdr:colOff>373380</xdr:colOff>
      <xdr:row>8</xdr:row>
      <xdr:rowOff>167640</xdr:rowOff>
    </xdr:from>
    <xdr:to>
      <xdr:col>4</xdr:col>
      <xdr:colOff>76200</xdr:colOff>
      <xdr:row>29</xdr:row>
      <xdr:rowOff>53340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73380" y="163068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</xdr:colOff>
      <xdr:row>9</xdr:row>
      <xdr:rowOff>0</xdr:rowOff>
    </xdr:from>
    <xdr:to>
      <xdr:col>3</xdr:col>
      <xdr:colOff>106680</xdr:colOff>
      <xdr:row>11</xdr:row>
      <xdr:rowOff>38100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632460" y="16459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22860</xdr:colOff>
      <xdr:row>11</xdr:row>
      <xdr:rowOff>47625</xdr:rowOff>
    </xdr:from>
    <xdr:to>
      <xdr:col>3</xdr:col>
      <xdr:colOff>106680</xdr:colOff>
      <xdr:row>13</xdr:row>
      <xdr:rowOff>85725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632460" y="20593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13</xdr:row>
      <xdr:rowOff>95250</xdr:rowOff>
    </xdr:from>
    <xdr:to>
      <xdr:col>3</xdr:col>
      <xdr:colOff>106680</xdr:colOff>
      <xdr:row>15</xdr:row>
      <xdr:rowOff>133350</xdr:rowOff>
    </xdr:to>
    <xdr:sp macro="" textlink="">
      <xdr:nvSpPr>
        <xdr:cNvPr id="9" name="TextBox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632460" y="247269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22860</xdr:colOff>
      <xdr:row>15</xdr:row>
      <xdr:rowOff>142875</xdr:rowOff>
    </xdr:from>
    <xdr:to>
      <xdr:col>3</xdr:col>
      <xdr:colOff>106680</xdr:colOff>
      <xdr:row>17</xdr:row>
      <xdr:rowOff>180975</xdr:rowOff>
    </xdr:to>
    <xdr:sp macro="" textlink="">
      <xdr:nvSpPr>
        <xdr:cNvPr id="10" name="TextBox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632460" y="28860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22860</xdr:colOff>
      <xdr:row>18</xdr:row>
      <xdr:rowOff>7620</xdr:rowOff>
    </xdr:from>
    <xdr:to>
      <xdr:col>3</xdr:col>
      <xdr:colOff>106680</xdr:colOff>
      <xdr:row>20</xdr:row>
      <xdr:rowOff>45720</xdr:rowOff>
    </xdr:to>
    <xdr:sp macro="" textlink="">
      <xdr:nvSpPr>
        <xdr:cNvPr id="11" name="TextBox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632460" y="32994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22860</xdr:colOff>
      <xdr:row>20</xdr:row>
      <xdr:rowOff>55245</xdr:rowOff>
    </xdr:from>
    <xdr:to>
      <xdr:col>3</xdr:col>
      <xdr:colOff>106680</xdr:colOff>
      <xdr:row>22</xdr:row>
      <xdr:rowOff>93345</xdr:rowOff>
    </xdr:to>
    <xdr:sp macro="" textlink="">
      <xdr:nvSpPr>
        <xdr:cNvPr id="12" name="TextBox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632460" y="37128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22860</xdr:colOff>
      <xdr:row>22</xdr:row>
      <xdr:rowOff>102870</xdr:rowOff>
    </xdr:from>
    <xdr:to>
      <xdr:col>3</xdr:col>
      <xdr:colOff>563880</xdr:colOff>
      <xdr:row>24</xdr:row>
      <xdr:rowOff>140970</xdr:rowOff>
    </xdr:to>
    <xdr:sp macro="" textlink="">
      <xdr:nvSpPr>
        <xdr:cNvPr id="13" name="TextBox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632460" y="412623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24</xdr:row>
      <xdr:rowOff>150495</xdr:rowOff>
    </xdr:from>
    <xdr:to>
      <xdr:col>3</xdr:col>
      <xdr:colOff>106680</xdr:colOff>
      <xdr:row>27</xdr:row>
      <xdr:rowOff>5715</xdr:rowOff>
    </xdr:to>
    <xdr:sp macro="" textlink="">
      <xdr:nvSpPr>
        <xdr:cNvPr id="14" name="TextBox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632460" y="45396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27</xdr:row>
      <xdr:rowOff>15240</xdr:rowOff>
    </xdr:from>
    <xdr:to>
      <xdr:col>3</xdr:col>
      <xdr:colOff>106680</xdr:colOff>
      <xdr:row>29</xdr:row>
      <xdr:rowOff>53340</xdr:rowOff>
    </xdr:to>
    <xdr:sp macro="" textlink="">
      <xdr:nvSpPr>
        <xdr:cNvPr id="18" name="TextBox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632460" y="49530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464820</xdr:colOff>
      <xdr:row>10</xdr:row>
      <xdr:rowOff>167640</xdr:rowOff>
    </xdr:from>
    <xdr:to>
      <xdr:col>3</xdr:col>
      <xdr:colOff>601980</xdr:colOff>
      <xdr:row>11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464820" y="199644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13</xdr:row>
      <xdr:rowOff>37011</xdr:rowOff>
    </xdr:from>
    <xdr:to>
      <xdr:col>3</xdr:col>
      <xdr:colOff>601980</xdr:colOff>
      <xdr:row>13</xdr:row>
      <xdr:rowOff>52251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>
          <a:off x="464820" y="241445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15</xdr:row>
      <xdr:rowOff>89262</xdr:rowOff>
    </xdr:from>
    <xdr:to>
      <xdr:col>3</xdr:col>
      <xdr:colOff>601980</xdr:colOff>
      <xdr:row>15</xdr:row>
      <xdr:rowOff>104502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464820" y="283246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17</xdr:row>
      <xdr:rowOff>141513</xdr:rowOff>
    </xdr:from>
    <xdr:to>
      <xdr:col>3</xdr:col>
      <xdr:colOff>601980</xdr:colOff>
      <xdr:row>17</xdr:row>
      <xdr:rowOff>156753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>
          <a:off x="464820" y="325047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20</xdr:row>
      <xdr:rowOff>10884</xdr:rowOff>
    </xdr:from>
    <xdr:to>
      <xdr:col>3</xdr:col>
      <xdr:colOff>601980</xdr:colOff>
      <xdr:row>20</xdr:row>
      <xdr:rowOff>26124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>
          <a:off x="464820" y="366848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22</xdr:row>
      <xdr:rowOff>63135</xdr:rowOff>
    </xdr:from>
    <xdr:to>
      <xdr:col>3</xdr:col>
      <xdr:colOff>601980</xdr:colOff>
      <xdr:row>22</xdr:row>
      <xdr:rowOff>78375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464820" y="408649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24</xdr:row>
      <xdr:rowOff>115386</xdr:rowOff>
    </xdr:from>
    <xdr:to>
      <xdr:col>3</xdr:col>
      <xdr:colOff>601980</xdr:colOff>
      <xdr:row>24</xdr:row>
      <xdr:rowOff>130626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464820" y="450450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26</xdr:row>
      <xdr:rowOff>167640</xdr:rowOff>
    </xdr:from>
    <xdr:to>
      <xdr:col>3</xdr:col>
      <xdr:colOff>601980</xdr:colOff>
      <xdr:row>27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CxnSpPr/>
      </xdr:nvCxnSpPr>
      <xdr:spPr>
        <a:xfrm>
          <a:off x="464820" y="492252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426721</xdr:colOff>
      <xdr:row>3</xdr:row>
      <xdr:rowOff>45719</xdr:rowOff>
    </xdr:from>
    <xdr:to>
      <xdr:col>3</xdr:col>
      <xdr:colOff>556260</xdr:colOff>
      <xdr:row>8</xdr:row>
      <xdr:rowOff>75584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26721" y="59435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14</xdr:col>
      <xdr:colOff>617220</xdr:colOff>
      <xdr:row>5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365760</xdr:colOff>
      <xdr:row>8</xdr:row>
      <xdr:rowOff>144780</xdr:rowOff>
    </xdr:from>
    <xdr:to>
      <xdr:col>4</xdr:col>
      <xdr:colOff>68580</xdr:colOff>
      <xdr:row>29</xdr:row>
      <xdr:rowOff>30480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365760" y="16078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160020</xdr:rowOff>
    </xdr:from>
    <xdr:to>
      <xdr:col>3</xdr:col>
      <xdr:colOff>99060</xdr:colOff>
      <xdr:row>11</xdr:row>
      <xdr:rowOff>15240</xdr:rowOff>
    </xdr:to>
    <xdr:sp macro="" textlink="">
      <xdr:nvSpPr>
        <xdr:cNvPr id="8" name="TextBox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624840" y="16230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24765</xdr:rowOff>
    </xdr:from>
    <xdr:to>
      <xdr:col>3</xdr:col>
      <xdr:colOff>99060</xdr:colOff>
      <xdr:row>13</xdr:row>
      <xdr:rowOff>62865</xdr:rowOff>
    </xdr:to>
    <xdr:sp macro="" textlink="">
      <xdr:nvSpPr>
        <xdr:cNvPr id="9" name="TextBox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24840" y="20364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72390</xdr:rowOff>
    </xdr:from>
    <xdr:to>
      <xdr:col>3</xdr:col>
      <xdr:colOff>99060</xdr:colOff>
      <xdr:row>15</xdr:row>
      <xdr:rowOff>110490</xdr:rowOff>
    </xdr:to>
    <xdr:sp macro="" textlink="">
      <xdr:nvSpPr>
        <xdr:cNvPr id="10" name="TextBox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624840" y="24498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120015</xdr:rowOff>
    </xdr:from>
    <xdr:to>
      <xdr:col>3</xdr:col>
      <xdr:colOff>99060</xdr:colOff>
      <xdr:row>17</xdr:row>
      <xdr:rowOff>158115</xdr:rowOff>
    </xdr:to>
    <xdr:sp macro="" textlink="">
      <xdr:nvSpPr>
        <xdr:cNvPr id="11" name="TextBox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624840" y="28632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167640</xdr:rowOff>
    </xdr:from>
    <xdr:to>
      <xdr:col>3</xdr:col>
      <xdr:colOff>99060</xdr:colOff>
      <xdr:row>20</xdr:row>
      <xdr:rowOff>22860</xdr:rowOff>
    </xdr:to>
    <xdr:sp macro="" textlink="">
      <xdr:nvSpPr>
        <xdr:cNvPr id="12" name="TextBox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624840" y="32766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32385</xdr:rowOff>
    </xdr:from>
    <xdr:to>
      <xdr:col>3</xdr:col>
      <xdr:colOff>99060</xdr:colOff>
      <xdr:row>22</xdr:row>
      <xdr:rowOff>70485</xdr:rowOff>
    </xdr:to>
    <xdr:sp macro="" textlink="">
      <xdr:nvSpPr>
        <xdr:cNvPr id="13" name="TextBox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624840" y="36899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80010</xdr:rowOff>
    </xdr:from>
    <xdr:to>
      <xdr:col>3</xdr:col>
      <xdr:colOff>556260</xdr:colOff>
      <xdr:row>24</xdr:row>
      <xdr:rowOff>118110</xdr:rowOff>
    </xdr:to>
    <xdr:sp macro="" textlink="">
      <xdr:nvSpPr>
        <xdr:cNvPr id="14" name="TextBox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624840" y="41033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127635</xdr:rowOff>
    </xdr:from>
    <xdr:to>
      <xdr:col>3</xdr:col>
      <xdr:colOff>99060</xdr:colOff>
      <xdr:row>26</xdr:row>
      <xdr:rowOff>165735</xdr:rowOff>
    </xdr:to>
    <xdr:sp macro="" textlink="">
      <xdr:nvSpPr>
        <xdr:cNvPr id="15" name="TextBox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624840" y="45167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26</xdr:row>
      <xdr:rowOff>175260</xdr:rowOff>
    </xdr:from>
    <xdr:to>
      <xdr:col>3</xdr:col>
      <xdr:colOff>99060</xdr:colOff>
      <xdr:row>29</xdr:row>
      <xdr:rowOff>30480</xdr:rowOff>
    </xdr:to>
    <xdr:sp macro="" textlink="">
      <xdr:nvSpPr>
        <xdr:cNvPr id="16" name="TextBox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624840" y="49301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144780</xdr:rowOff>
    </xdr:from>
    <xdr:to>
      <xdr:col>3</xdr:col>
      <xdr:colOff>594360</xdr:colOff>
      <xdr:row>10</xdr:row>
      <xdr:rowOff>160020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>
        <a:xfrm>
          <a:off x="457200" y="19735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13</xdr:row>
      <xdr:rowOff>14151</xdr:rowOff>
    </xdr:from>
    <xdr:to>
      <xdr:col>3</xdr:col>
      <xdr:colOff>594360</xdr:colOff>
      <xdr:row>13</xdr:row>
      <xdr:rowOff>29391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457200" y="23915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66402</xdr:rowOff>
    </xdr:from>
    <xdr:to>
      <xdr:col>3</xdr:col>
      <xdr:colOff>594360</xdr:colOff>
      <xdr:row>15</xdr:row>
      <xdr:rowOff>81642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CxnSpPr/>
      </xdr:nvCxnSpPr>
      <xdr:spPr>
        <a:xfrm>
          <a:off x="457200" y="28096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118653</xdr:rowOff>
    </xdr:from>
    <xdr:to>
      <xdr:col>3</xdr:col>
      <xdr:colOff>594360</xdr:colOff>
      <xdr:row>17</xdr:row>
      <xdr:rowOff>133893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CxnSpPr/>
      </xdr:nvCxnSpPr>
      <xdr:spPr>
        <a:xfrm>
          <a:off x="457200" y="32276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170904</xdr:rowOff>
    </xdr:from>
    <xdr:to>
      <xdr:col>3</xdr:col>
      <xdr:colOff>594360</xdr:colOff>
      <xdr:row>20</xdr:row>
      <xdr:rowOff>3264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/>
      </xdr:nvCxnSpPr>
      <xdr:spPr>
        <a:xfrm>
          <a:off x="457200" y="36456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40275</xdr:rowOff>
    </xdr:from>
    <xdr:to>
      <xdr:col>3</xdr:col>
      <xdr:colOff>594360</xdr:colOff>
      <xdr:row>22</xdr:row>
      <xdr:rowOff>55515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>
          <a:off x="457200" y="40636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92526</xdr:rowOff>
    </xdr:from>
    <xdr:to>
      <xdr:col>3</xdr:col>
      <xdr:colOff>594360</xdr:colOff>
      <xdr:row>24</xdr:row>
      <xdr:rowOff>107766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>
          <a:off x="457200" y="44816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144780</xdr:rowOff>
    </xdr:from>
    <xdr:to>
      <xdr:col>3</xdr:col>
      <xdr:colOff>594360</xdr:colOff>
      <xdr:row>26</xdr:row>
      <xdr:rowOff>160020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457200" y="48996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487680</xdr:colOff>
      <xdr:row>1</xdr:row>
      <xdr:rowOff>114300</xdr:rowOff>
    </xdr:from>
    <xdr:to>
      <xdr:col>8</xdr:col>
      <xdr:colOff>746760</xdr:colOff>
      <xdr:row>4</xdr:row>
      <xdr:rowOff>160020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2926080" y="297180"/>
          <a:ext cx="37338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en-US" sz="2600" b="1" baseline="0">
              <a:latin typeface="Segoe UI" panose="020B0502040204020203" pitchFamily="34" charset="0"/>
              <a:cs typeface="Segoe UI" panose="020B0502040204020203" pitchFamily="34" charset="0"/>
            </a:rPr>
            <a:t> Categories</a:t>
          </a:r>
          <a:endParaRPr lang="en-US" sz="2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464821</xdr:colOff>
      <xdr:row>3</xdr:row>
      <xdr:rowOff>68579</xdr:rowOff>
    </xdr:from>
    <xdr:to>
      <xdr:col>3</xdr:col>
      <xdr:colOff>594360</xdr:colOff>
      <xdr:row>8</xdr:row>
      <xdr:rowOff>98444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6482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19</xdr:col>
      <xdr:colOff>236220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365760</xdr:colOff>
      <xdr:row>8</xdr:row>
      <xdr:rowOff>129540</xdr:rowOff>
    </xdr:from>
    <xdr:to>
      <xdr:col>4</xdr:col>
      <xdr:colOff>68580</xdr:colOff>
      <xdr:row>29</xdr:row>
      <xdr:rowOff>15240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65760" y="159258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144780</xdr:rowOff>
    </xdr:from>
    <xdr:to>
      <xdr:col>3</xdr:col>
      <xdr:colOff>99060</xdr:colOff>
      <xdr:row>11</xdr:row>
      <xdr:rowOff>0</xdr:rowOff>
    </xdr:to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624840" y="16078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9525</xdr:rowOff>
    </xdr:from>
    <xdr:to>
      <xdr:col>3</xdr:col>
      <xdr:colOff>99060</xdr:colOff>
      <xdr:row>13</xdr:row>
      <xdr:rowOff>47625</xdr:rowOff>
    </xdr:to>
    <xdr:sp macro="" textlink="">
      <xdr:nvSpPr>
        <xdr:cNvPr id="7" name="TextBox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624840" y="20212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57150</xdr:rowOff>
    </xdr:from>
    <xdr:to>
      <xdr:col>3</xdr:col>
      <xdr:colOff>99060</xdr:colOff>
      <xdr:row>15</xdr:row>
      <xdr:rowOff>95250</xdr:rowOff>
    </xdr:to>
    <xdr:sp macro="" textlink="">
      <xdr:nvSpPr>
        <xdr:cNvPr id="8" name="TextBox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624840" y="243459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104775</xdr:rowOff>
    </xdr:from>
    <xdr:to>
      <xdr:col>3</xdr:col>
      <xdr:colOff>99060</xdr:colOff>
      <xdr:row>17</xdr:row>
      <xdr:rowOff>142875</xdr:rowOff>
    </xdr:to>
    <xdr:sp macro="" textlink="">
      <xdr:nvSpPr>
        <xdr:cNvPr id="9" name="TextBox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624840" y="28479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152400</xdr:rowOff>
    </xdr:from>
    <xdr:to>
      <xdr:col>3</xdr:col>
      <xdr:colOff>99060</xdr:colOff>
      <xdr:row>20</xdr:row>
      <xdr:rowOff>7620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624840" y="32613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17145</xdr:rowOff>
    </xdr:from>
    <xdr:to>
      <xdr:col>3</xdr:col>
      <xdr:colOff>99060</xdr:colOff>
      <xdr:row>22</xdr:row>
      <xdr:rowOff>55245</xdr:rowOff>
    </xdr:to>
    <xdr:sp macro="" textlink="">
      <xdr:nvSpPr>
        <xdr:cNvPr id="11" name="TextBox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624840" y="36747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64770</xdr:rowOff>
    </xdr:from>
    <xdr:to>
      <xdr:col>3</xdr:col>
      <xdr:colOff>556260</xdr:colOff>
      <xdr:row>24</xdr:row>
      <xdr:rowOff>102870</xdr:rowOff>
    </xdr:to>
    <xdr:sp macro="" textlink="">
      <xdr:nvSpPr>
        <xdr:cNvPr id="12" name="TextBox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624840" y="408813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112395</xdr:rowOff>
    </xdr:from>
    <xdr:to>
      <xdr:col>3</xdr:col>
      <xdr:colOff>99060</xdr:colOff>
      <xdr:row>26</xdr:row>
      <xdr:rowOff>150495</xdr:rowOff>
    </xdr:to>
    <xdr:sp macro="" textlink="">
      <xdr:nvSpPr>
        <xdr:cNvPr id="13" name="TextBox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624840" y="45015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26</xdr:row>
      <xdr:rowOff>160020</xdr:rowOff>
    </xdr:from>
    <xdr:to>
      <xdr:col>3</xdr:col>
      <xdr:colOff>99060</xdr:colOff>
      <xdr:row>29</xdr:row>
      <xdr:rowOff>15240</xdr:rowOff>
    </xdr:to>
    <xdr:sp macro="" textlink="">
      <xdr:nvSpPr>
        <xdr:cNvPr id="14" name="TextBox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624840" y="49149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129540</xdr:rowOff>
    </xdr:from>
    <xdr:to>
      <xdr:col>3</xdr:col>
      <xdr:colOff>594360</xdr:colOff>
      <xdr:row>10</xdr:row>
      <xdr:rowOff>144780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>
          <a:off x="457200" y="195834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12</xdr:row>
      <xdr:rowOff>181791</xdr:rowOff>
    </xdr:from>
    <xdr:to>
      <xdr:col>3</xdr:col>
      <xdr:colOff>594360</xdr:colOff>
      <xdr:row>13</xdr:row>
      <xdr:rowOff>14151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>
          <a:off x="457200" y="237635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51162</xdr:rowOff>
    </xdr:from>
    <xdr:to>
      <xdr:col>3</xdr:col>
      <xdr:colOff>594360</xdr:colOff>
      <xdr:row>15</xdr:row>
      <xdr:rowOff>66402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CxnSpPr/>
      </xdr:nvCxnSpPr>
      <xdr:spPr>
        <a:xfrm>
          <a:off x="457200" y="279436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103413</xdr:rowOff>
    </xdr:from>
    <xdr:to>
      <xdr:col>3</xdr:col>
      <xdr:colOff>594360</xdr:colOff>
      <xdr:row>17</xdr:row>
      <xdr:rowOff>118653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57200" y="321237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155664</xdr:rowOff>
    </xdr:from>
    <xdr:to>
      <xdr:col>3</xdr:col>
      <xdr:colOff>594360</xdr:colOff>
      <xdr:row>19</xdr:row>
      <xdr:rowOff>170904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>
          <a:off x="457200" y="363038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25035</xdr:rowOff>
    </xdr:from>
    <xdr:to>
      <xdr:col>3</xdr:col>
      <xdr:colOff>594360</xdr:colOff>
      <xdr:row>22</xdr:row>
      <xdr:rowOff>40275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>
          <a:off x="457200" y="404839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77286</xdr:rowOff>
    </xdr:from>
    <xdr:to>
      <xdr:col>3</xdr:col>
      <xdr:colOff>594360</xdr:colOff>
      <xdr:row>24</xdr:row>
      <xdr:rowOff>92526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CxnSpPr/>
      </xdr:nvCxnSpPr>
      <xdr:spPr>
        <a:xfrm>
          <a:off x="457200" y="446640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129540</xdr:rowOff>
    </xdr:from>
    <xdr:to>
      <xdr:col>3</xdr:col>
      <xdr:colOff>594360</xdr:colOff>
      <xdr:row>26</xdr:row>
      <xdr:rowOff>144780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CxnSpPr/>
      </xdr:nvCxnSpPr>
      <xdr:spPr>
        <a:xfrm>
          <a:off x="457200" y="488442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502920</xdr:colOff>
      <xdr:row>1</xdr:row>
      <xdr:rowOff>121920</xdr:rowOff>
    </xdr:from>
    <xdr:to>
      <xdr:col>6</xdr:col>
      <xdr:colOff>937260</xdr:colOff>
      <xdr:row>4</xdr:row>
      <xdr:rowOff>167640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2941320" y="30480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Customers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441961</xdr:colOff>
      <xdr:row>3</xdr:row>
      <xdr:rowOff>68579</xdr:rowOff>
    </xdr:from>
    <xdr:to>
      <xdr:col>3</xdr:col>
      <xdr:colOff>571500</xdr:colOff>
      <xdr:row>8</xdr:row>
      <xdr:rowOff>98444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4196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20</xdr:col>
      <xdr:colOff>533400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365760</xdr:colOff>
      <xdr:row>8</xdr:row>
      <xdr:rowOff>152400</xdr:rowOff>
    </xdr:from>
    <xdr:to>
      <xdr:col>4</xdr:col>
      <xdr:colOff>68580</xdr:colOff>
      <xdr:row>29</xdr:row>
      <xdr:rowOff>38100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65760" y="161544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167640</xdr:rowOff>
    </xdr:from>
    <xdr:to>
      <xdr:col>3</xdr:col>
      <xdr:colOff>99060</xdr:colOff>
      <xdr:row>11</xdr:row>
      <xdr:rowOff>22860</xdr:rowOff>
    </xdr:to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624840" y="163068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32385</xdr:rowOff>
    </xdr:from>
    <xdr:to>
      <xdr:col>3</xdr:col>
      <xdr:colOff>99060</xdr:colOff>
      <xdr:row>13</xdr:row>
      <xdr:rowOff>70485</xdr:rowOff>
    </xdr:to>
    <xdr:sp macro="" textlink="">
      <xdr:nvSpPr>
        <xdr:cNvPr id="7" name="TextBox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24840" y="204406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80010</xdr:rowOff>
    </xdr:from>
    <xdr:to>
      <xdr:col>3</xdr:col>
      <xdr:colOff>99060</xdr:colOff>
      <xdr:row>15</xdr:row>
      <xdr:rowOff>118110</xdr:rowOff>
    </xdr:to>
    <xdr:sp macro="" textlink="">
      <xdr:nvSpPr>
        <xdr:cNvPr id="8" name="TextBox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624840" y="245745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127635</xdr:rowOff>
    </xdr:from>
    <xdr:to>
      <xdr:col>3</xdr:col>
      <xdr:colOff>99060</xdr:colOff>
      <xdr:row>17</xdr:row>
      <xdr:rowOff>165735</xdr:rowOff>
    </xdr:to>
    <xdr:sp macro="" textlink="">
      <xdr:nvSpPr>
        <xdr:cNvPr id="9" name="TextBox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624840" y="287083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175260</xdr:rowOff>
    </xdr:from>
    <xdr:to>
      <xdr:col>3</xdr:col>
      <xdr:colOff>99060</xdr:colOff>
      <xdr:row>20</xdr:row>
      <xdr:rowOff>30480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624840" y="32842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40005</xdr:rowOff>
    </xdr:from>
    <xdr:to>
      <xdr:col>3</xdr:col>
      <xdr:colOff>99060</xdr:colOff>
      <xdr:row>22</xdr:row>
      <xdr:rowOff>78105</xdr:rowOff>
    </xdr:to>
    <xdr:sp macro="" textlink="">
      <xdr:nvSpPr>
        <xdr:cNvPr id="11" name="TextBox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624840" y="36976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87630</xdr:rowOff>
    </xdr:from>
    <xdr:to>
      <xdr:col>3</xdr:col>
      <xdr:colOff>556260</xdr:colOff>
      <xdr:row>24</xdr:row>
      <xdr:rowOff>125730</xdr:rowOff>
    </xdr:to>
    <xdr:sp macro="" textlink="">
      <xdr:nvSpPr>
        <xdr:cNvPr id="12" name="TextBox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624840" y="411099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135255</xdr:rowOff>
    </xdr:from>
    <xdr:to>
      <xdr:col>3</xdr:col>
      <xdr:colOff>99060</xdr:colOff>
      <xdr:row>26</xdr:row>
      <xdr:rowOff>173355</xdr:rowOff>
    </xdr:to>
    <xdr:sp macro="" textlink="">
      <xdr:nvSpPr>
        <xdr:cNvPr id="13" name="TextBox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624840" y="45243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27</xdr:row>
      <xdr:rowOff>0</xdr:rowOff>
    </xdr:from>
    <xdr:to>
      <xdr:col>3</xdr:col>
      <xdr:colOff>99060</xdr:colOff>
      <xdr:row>29</xdr:row>
      <xdr:rowOff>38100</xdr:rowOff>
    </xdr:to>
    <xdr:sp macro="" textlink="">
      <xdr:nvSpPr>
        <xdr:cNvPr id="14" name="TextBox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624840" y="49377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152400</xdr:rowOff>
    </xdr:from>
    <xdr:to>
      <xdr:col>3</xdr:col>
      <xdr:colOff>594360</xdr:colOff>
      <xdr:row>10</xdr:row>
      <xdr:rowOff>167640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>
          <a:off x="457200" y="198120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13</xdr:row>
      <xdr:rowOff>21771</xdr:rowOff>
    </xdr:from>
    <xdr:to>
      <xdr:col>3</xdr:col>
      <xdr:colOff>594360</xdr:colOff>
      <xdr:row>13</xdr:row>
      <xdr:rowOff>37011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>
          <a:off x="457200" y="239921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74022</xdr:rowOff>
    </xdr:from>
    <xdr:to>
      <xdr:col>3</xdr:col>
      <xdr:colOff>594360</xdr:colOff>
      <xdr:row>15</xdr:row>
      <xdr:rowOff>89262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457200" y="281722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126273</xdr:rowOff>
    </xdr:from>
    <xdr:to>
      <xdr:col>3</xdr:col>
      <xdr:colOff>594360</xdr:colOff>
      <xdr:row>17</xdr:row>
      <xdr:rowOff>141513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CxnSpPr/>
      </xdr:nvCxnSpPr>
      <xdr:spPr>
        <a:xfrm>
          <a:off x="457200" y="323523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178524</xdr:rowOff>
    </xdr:from>
    <xdr:to>
      <xdr:col>3</xdr:col>
      <xdr:colOff>594360</xdr:colOff>
      <xdr:row>20</xdr:row>
      <xdr:rowOff>10884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>
          <a:off x="457200" y="365324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47895</xdr:rowOff>
    </xdr:from>
    <xdr:to>
      <xdr:col>3</xdr:col>
      <xdr:colOff>594360</xdr:colOff>
      <xdr:row>22</xdr:row>
      <xdr:rowOff>63135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>
          <a:off x="457200" y="407125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100146</xdr:rowOff>
    </xdr:from>
    <xdr:to>
      <xdr:col>3</xdr:col>
      <xdr:colOff>594360</xdr:colOff>
      <xdr:row>24</xdr:row>
      <xdr:rowOff>115386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/>
      </xdr:nvCxnSpPr>
      <xdr:spPr>
        <a:xfrm>
          <a:off x="457200" y="448926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152400</xdr:rowOff>
    </xdr:from>
    <xdr:to>
      <xdr:col>3</xdr:col>
      <xdr:colOff>594360</xdr:colOff>
      <xdr:row>26</xdr:row>
      <xdr:rowOff>167640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CxnSpPr/>
      </xdr:nvCxnSpPr>
      <xdr:spPr>
        <a:xfrm>
          <a:off x="457200" y="49072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510540</xdr:colOff>
      <xdr:row>1</xdr:row>
      <xdr:rowOff>121920</xdr:rowOff>
    </xdr:from>
    <xdr:to>
      <xdr:col>6</xdr:col>
      <xdr:colOff>1097280</xdr:colOff>
      <xdr:row>4</xdr:row>
      <xdr:rowOff>167640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2948940" y="30480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Vendors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69560183" backgroundQuery="1" createdVersion="7" refreshedVersion="7" minRefreshableVersion="3" recordCount="0" supportSubquery="1" supportAdvancedDrill="1" xr:uid="{D145AC47-B08B-4A50-9E35-024B5B875F1B}">
  <cacheSource type="external" connectionId="1"/>
  <cacheFields count="2">
    <cacheField name="[Orders].[Sales Channel].[Sales Channel]" caption="Sales Channel" numFmtId="0" hierarchy="20" level="1">
      <sharedItems count="4">
        <s v="Instagram"/>
        <s v="Offline"/>
        <s v="Tiktok"/>
        <s v="WhatsApp"/>
      </sharedItems>
    </cacheField>
    <cacheField name="[Measures].[Sum of Amount]" caption="Sum of Amount" numFmtId="0" hierarchy="50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2" memberValueDatatype="130" unbalanced="0">
      <fieldsUsage count="2">
        <fieldUsage x="-1"/>
        <fieldUsage x="0"/>
      </fieldsUsage>
    </cacheHierarchy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2986114" backgroundQuery="1" createdVersion="7" refreshedVersion="7" minRefreshableVersion="3" recordCount="0" supportSubquery="1" supportAdvancedDrill="1" xr:uid="{EE50C0C7-F15E-417A-8D67-8E537FA0D77D}">
  <cacheSource type="external" connectionId="1"/>
  <cacheFields count="2">
    <cacheField name="[Inventory].[Product].[Product]" caption="Product" numFmtId="0" hierarchy="5" level="1">
      <sharedItems count="5">
        <s v="Comb Set"/>
        <s v="Hair Clipper"/>
        <s v="Hoho Cup"/>
        <s v="Infuser Bottle"/>
        <s v="Matte Flask"/>
      </sharedItems>
    </cacheField>
    <cacheField name="[Measures].[Profit/Loss]" caption="Profit/Loss" numFmtId="0" hierarchy="3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 oneField="1">
      <fieldsUsage count="1">
        <fieldUsage x="1"/>
      </fieldsUsage>
    </cacheHierarchy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6990739" backgroundQuery="1" createdVersion="7" refreshedVersion="7" minRefreshableVersion="3" recordCount="0" supportSubquery="1" supportAdvancedDrill="1" xr:uid="{57B28E9E-72D2-46AA-98C9-94AAA6CF3E3B}">
  <cacheSource type="external" connectionId="1"/>
  <cacheFields count="2">
    <cacheField name="[Inventory].[Product].[Product]" caption="Product" numFmtId="0" hierarchy="5" level="1">
      <sharedItems count="21">
        <s v="Bracelet"/>
        <s v="Comb Set"/>
        <s v="Cufflinks"/>
        <s v="Executive Journal"/>
        <s v="Face Cap"/>
        <s v="Gym Bottle"/>
        <s v="Hair Clipper"/>
        <s v="Hair Straightner"/>
        <s v="Hoho Cup"/>
        <s v="Ice Cup"/>
        <s v="Infuser Bottle"/>
        <s v="Insulated Tumbler"/>
        <s v="Leather Journal"/>
        <s v="Male Watch"/>
        <s v="Matte Flask"/>
        <s v="Necklace"/>
        <s v="Oval Flask"/>
        <s v="Strap Journal"/>
        <s v="Styllus Pen Journal"/>
        <s v="Two Toned Journal"/>
        <s v="Wallet"/>
      </sharedItems>
    </cacheField>
    <cacheField name="[Measures].[Sum of Stock]" caption="Sum of Stock" numFmtId="0" hierarchy="5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53703703" backgroundQuery="1" createdVersion="7" refreshedVersion="7" minRefreshableVersion="3" recordCount="0" supportSubquery="1" supportAdvancedDrill="1" xr:uid="{4485FA9B-16E1-4C04-A03D-C3FBA91BBCCF}">
  <cacheSource type="external" connectionId="1"/>
  <cacheFields count="1">
    <cacheField name="[Measures].[Sum of Total Cost]" caption="Sum of Total Cost" numFmtId="0" hierarchy="52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9004626" backgroundQuery="1" createdVersion="7" refreshedVersion="7" minRefreshableVersion="3" recordCount="0" supportSubquery="1" supportAdvancedDrill="1" xr:uid="{47F4286E-D9F0-4596-9975-F8D1DF32BB19}">
  <cacheSource type="external" connectionId="1"/>
  <cacheFields count="1">
    <cacheField name="[Measures].[Sum of Stock Amount]" caption="Sum of Stock Amount" numFmtId="0" hierarchy="53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4375" backgroundQuery="1" createdVersion="7" refreshedVersion="7" minRefreshableVersion="3" recordCount="0" supportSubquery="1" supportAdvancedDrill="1" xr:uid="{E36CEE95-72FF-4F03-B36B-1D8E84A6AF88}">
  <cacheSource type="external" connectionId="1"/>
  <cacheFields count="1">
    <cacheField name="[Measures].[ProfitMargin]" caption="ProfitMargin" numFmtId="0" hierarchy="36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 oneField="1">
      <fieldsUsage count="1">
        <fieldUsage x="0"/>
      </fieldsUsage>
    </cacheHierarchy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2708336" backgroundQuery="1" createdVersion="7" refreshedVersion="7" minRefreshableVersion="3" recordCount="0" supportSubquery="1" supportAdvancedDrill="1" xr:uid="{5E207684-9747-4A7D-B6C4-367D69233231}">
  <cacheSource type="external" connectionId="1"/>
  <cacheFields count="2">
    <cacheField name="[Measures].[Sum of Sales Units]" caption="Sum of Sales Units" numFmtId="0" hierarchy="56" level="32767"/>
    <cacheField name="[Measures].[Sum of Stock]" caption="Sum of Stock" numFmtId="0" hierarchy="5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68287036" backgroundQuery="1" createdVersion="7" refreshedVersion="7" minRefreshableVersion="3" recordCount="0" supportSubquery="1" supportAdvancedDrill="1" xr:uid="{95664C4C-9624-4C18-BBB8-DE501F87ABAC}">
  <cacheSource type="external" connectionId="1"/>
  <cacheFields count="2">
    <cacheField name="[Products].[Product].[Product]" caption="Product" numFmtId="0" hierarchy="22" level="1">
      <sharedItems count="10">
        <s v="2in1 Towel"/>
        <s v="Durian Cup"/>
        <s v="Gift Bag"/>
        <s v="Gift Box"/>
        <s v="Headband"/>
        <s v="Mason Jar"/>
        <s v="Necklace"/>
        <s v="Rechargeable Fan"/>
        <s v="Scrunchies"/>
        <s v="Styllus Pen Journal"/>
      </sharedItems>
    </cacheField>
    <cacheField name="[Measures].[Sum of Quantity]" caption="Sum of Quantity" numFmtId="0" hierarchy="54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5763886" backgroundQuery="1" createdVersion="7" refreshedVersion="7" minRefreshableVersion="3" recordCount="0" supportSubquery="1" supportAdvancedDrill="1" xr:uid="{5C61E664-B0DA-45FC-9C84-0FC6DD2BDF06}">
  <cacheSource type="external" connectionId="1"/>
  <cacheFields count="1">
    <cacheField name="[Measures].[Sum of Stock]" caption="Sum of Stock" numFmtId="0" hierarchy="5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66550927" backgroundQuery="1" createdVersion="7" refreshedVersion="7" minRefreshableVersion="3" recordCount="0" supportSubquery="1" supportAdvancedDrill="1" xr:uid="{9F59FA87-40A9-4336-AC3A-4A17A64D21BA}">
  <cacheSource type="external" connectionId="1"/>
  <cacheFields count="2">
    <cacheField name="[Measures].[WoW Growth (%) ]" caption="WoW Growth (%) " numFmtId="0" hierarchy="39" level="32767"/>
    <cacheField name="[Measures].[MoM Growth (%)]" caption="MoM Growth (%)" numFmtId="0" hierarchy="41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 oneField="1">
      <fieldsUsage count="1">
        <fieldUsage x="0"/>
      </fieldsUsage>
    </cacheHierarchy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 oneField="1">
      <fieldsUsage count="1">
        <fieldUsage x="1"/>
      </fieldsUsage>
    </cacheHierarchy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705092591" backgroundQuery="1" createdVersion="7" refreshedVersion="7" minRefreshableVersion="3" recordCount="0" supportSubquery="1" supportAdvancedDrill="1" xr:uid="{8171BE83-E362-4AA5-9E69-0143C21E7A52}">
  <cacheSource type="external" connectionId="1"/>
  <cacheFields count="1">
    <cacheField name="[Measures].[Count of CustomerID]" caption="Count of CustomerID" numFmtId="0" hierarchy="48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72453707" backgroundQuery="1" createdVersion="7" refreshedVersion="7" minRefreshableVersion="3" recordCount="0" supportSubquery="1" supportAdvancedDrill="1" xr:uid="{05D6A256-48A2-4ADB-950C-A71D6B6A9868}">
  <cacheSource type="external" connectionId="1"/>
  <cacheFields count="2">
    <cacheField name="[Products].[Product].[Product]" caption="Product" numFmtId="0" hierarchy="22" level="1">
      <sharedItems count="10">
        <s v="Candy bottle"/>
        <s v="Hair Straightner"/>
        <s v="Hoho Cup"/>
        <s v="Libby Cup"/>
        <s v="Male Watch"/>
        <s v="Oval Flask"/>
        <s v="Rechargeable Blender"/>
        <s v="Stainless Steel Bottle"/>
        <s v="Two Toned Journal"/>
        <s v="Wallet"/>
      </sharedItems>
    </cacheField>
    <cacheField name="[Measures].[Sum of Quantity]" caption="Sum of Quantity" numFmtId="0" hierarchy="54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7152779" backgroundQuery="1" createdVersion="7" refreshedVersion="7" minRefreshableVersion="3" recordCount="0" supportSubquery="1" supportAdvancedDrill="1" xr:uid="{FC400950-4767-4A51-8EB3-5914B9F1E246}">
  <cacheSource type="external" connectionId="1"/>
  <cacheFields count="1">
    <cacheField name="[Measures].[Sum of Purchase Units]" caption="Sum of Purchase Units" numFmtId="0" hierarchy="57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0856481" backgroundQuery="1" createdVersion="7" refreshedVersion="7" minRefreshableVersion="3" recordCount="0" supportSubquery="1" supportAdvancedDrill="1" xr:uid="{1FC179C1-A70E-4977-B2CE-2320A912CB55}">
  <cacheSource type="external" connectionId="1"/>
  <cacheFields count="1">
    <cacheField name="[Measures].[OutofStock]" caption="OutofStock" numFmtId="0" hierarchy="34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 oneField="1">
      <fieldsUsage count="1">
        <fieldUsage x="0"/>
      </fieldsUsage>
    </cacheHierarchy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70717591" backgroundQuery="1" createdVersion="7" refreshedVersion="7" minRefreshableVersion="3" recordCount="0" supportSubquery="1" supportAdvancedDrill="1" xr:uid="{E17F0343-469E-4751-952E-7632F256B9FC}">
  <cacheSource type="external" connectionId="1"/>
  <cacheFields count="1">
    <cacheField name="[Measures].[Count of ProductID]" caption="Count of ProductID" numFmtId="0" hierarchy="49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73958332" backgroundQuery="1" createdVersion="7" refreshedVersion="7" minRefreshableVersion="3" recordCount="0" supportSubquery="1" supportAdvancedDrill="1" xr:uid="{11C83664-FF2C-49DE-A31D-C86EA5AB3CB8}">
  <cacheSource type="external" connectionId="1"/>
  <cacheFields count="1">
    <cacheField name="[Measures].[Sum of Amount]" caption="Sum of Amount" numFmtId="0" hierarchy="50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4907407" backgroundQuery="1" createdVersion="7" refreshedVersion="7" minRefreshableVersion="3" recordCount="0" supportSubquery="1" supportAdvancedDrill="1" xr:uid="{D8EDE22E-9D56-4E83-AD82-4617FA05CEF0}">
  <cacheSource type="external" connectionId="1"/>
  <cacheFields count="1">
    <cacheField name="[Inventory].[Product].[Product]" caption="Product" numFmtId="0" hierarchy="5" level="1">
      <sharedItems count="3">
        <s v="Cufflinks"/>
        <s v="Face Cap"/>
        <s v="Shade"/>
      </sharedItems>
    </cacheField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20.711744675929" backgroundQuery="1" createdVersion="7" refreshedVersion="7" minRefreshableVersion="3" recordCount="0" supportSubquery="1" supportAdvancedDrill="1" xr:uid="{B9F3DC4B-01CC-41EF-A561-09F8CCA95DDB}">
  <cacheSource type="external" connectionId="1"/>
  <cacheFields count="2">
    <cacheField name="[Measures].[Sum of Amount]" caption="Sum of Amount" numFmtId="0" hierarchy="50" level="32767"/>
    <cacheField name="[Orders].[Date].[Date]" caption="Date" numFmtId="0" hierarchy="12" level="1">
      <sharedItems containsSemiMixedTypes="0" containsNonDate="0" containsDate="1" containsString="0" minDate="2025-01-02T00:00:00" maxDate="2025-02-01T00:00:00" count="27">
        <d v="2025-01-02T00:00:00"/>
        <d v="2025-01-03T00:00:00"/>
        <d v="2025-01-04T00:00:00"/>
        <d v="2025-01-06T00:00:00"/>
        <d v="2025-01-07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</sharedItems>
    </cacheField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2" memberValueDatatype="130" unbalanced="0"/>
    <cacheHierarchy uniqueName="[Customers].[Name]" caption="Name" attribute="1" defaultMemberUniqueName="[Customers].[Name].[All]" allUniqueName="[Customers].[Name].[All]" dimensionUniqueName="[Customers]" displayFolder="" count="2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2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2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2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/>
    <cacheHierarchy uniqueName="[Inventory].[Cost]" caption="Cost" attribute="1" defaultMemberUniqueName="[Inventory].[Cost].[All]" allUniqueName="[Inventory].[Cost].[All]" dimensionUniqueName="[Inventory]" displayFolder="" count="2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2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2" memberValueDatatype="20" unbalanced="0"/>
    <cacheHierarchy uniqueName="[Inventory].[Stock]" caption="Stock" attribute="1" defaultMemberUniqueName="[Inventory].[Stock].[All]" allUniqueName="[Inventory].[Stock].[All]" dimensionUniqueName="[Inventory]" displayFolder="" count="2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2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2" memberValueDatatype="130" unbalanced="0"/>
    <cacheHierarchy uniqueName="[Orders].[Date]" caption="Date" attribute="1" time="1" defaultMemberUniqueName="[Orders].[Date].[All]" allUniqueName="[Orders].[Date].[All]" dimensionUniqueName="[Orders]" displayFolder="" count="2" memberValueDatatype="7" unbalanced="0">
      <fieldsUsage count="2">
        <fieldUsage x="-1"/>
        <fieldUsage x="1"/>
      </fieldsUsage>
    </cacheHierarchy>
    <cacheHierarchy uniqueName="[Orders].[Category]" caption="Category" attribute="1" defaultMemberUniqueName="[Orders].[Category].[All]" allUniqueName="[Orders].[Category].[All]" dimensionUniqueName="[Orders]" displayFolder="" count="2" memberValueDatatype="130" unbalanced="0"/>
    <cacheHierarchy uniqueName="[Orders].[Product]" caption="Product" attribute="1" defaultMemberUniqueName="[Orders].[Product].[All]" allUniqueName="[Orders].[Product].[All]" dimensionUniqueName="[Orders]" displayFolder="" count="2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2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2" memberValueDatatype="130" unbalanced="0"/>
    <cacheHierarchy uniqueName="[Orders].[Price]" caption="Price" attribute="1" defaultMemberUniqueName="[Orders].[Price].[All]" allUniqueName="[Orders].[Price].[All]" dimensionUniqueName="[Orders]" displayFolder="" count="2" memberValueDatatype="20" unbalanced="0"/>
    <cacheHierarchy uniqueName="[Orders].[Quantity]" caption="Quantity" attribute="1" defaultMemberUniqueName="[Orders].[Quantity].[All]" allUniqueName="[Orders].[Quantity].[All]" dimensionUniqueName="[Orders]" displayFolder="" count="2" memberValueDatatype="20" unbalanced="0"/>
    <cacheHierarchy uniqueName="[Orders].[Amount]" caption="Amount" attribute="1" defaultMemberUniqueName="[Orders].[Amount].[All]" allUniqueName="[Orders].[Amount].[All]" dimensionUniqueName="[Orders]" displayFolder="" count="2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2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2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2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2" memberValueDatatype="130" unbalanced="0"/>
    <cacheHierarchy uniqueName="[Products].[Cost]" caption="Cost" attribute="1" defaultMemberUniqueName="[Products].[Cost].[All]" allUniqueName="[Products].[Cost].[All]" dimensionUniqueName="[Products]" displayFolder="" count="2" memberValueDatatype="20" unbalanced="0"/>
    <cacheHierarchy uniqueName="[Products].[Price]" caption="Price" attribute="1" defaultMemberUniqueName="[Products].[Price].[All]" allUniqueName="[Products].[Price].[All]" dimensionUniqueName="[Products]" displayFolder="" count="2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2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2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2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2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2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2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2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2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43001-A901-467C-A8B6-44F591DBFAB6}" name="PivotTable10" cacheId="42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14" rowHeaderCaption="Product">
  <location ref="S6:T7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Total Sales" fld="0" baseField="0" baseItem="1"/>
    <dataField name="Total Stock" fld="1" baseField="0" baseItem="1"/>
  </dataFields>
  <chartFormats count="2"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4C30A-698A-4801-A6AC-FFBD0D9201EB}" name="PivotTable1" cacheId="4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5:A6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Customers" fld="0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ales and Inventory Management System.xlsx!Customers">
        <x15:activeTabTopLevelEntity name="[Custom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2C73E7-CDDE-4CD8-8B85-C24356E590D6}" name="PivotTable13" cacheId="53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32" rowHeaderCaption="Date">
  <location ref="E6:F33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ales" fld="0" baseField="0" baseItem="0"/>
  </dataFields>
  <formats count="2">
    <format dxfId="1">
      <pivotArea field="1" type="button" dataOnly="0" labelOnly="1" outline="0" axis="axisRow" fieldPosition="0"/>
    </format>
    <format dxfId="0">
      <pivotArea dataOnly="0" labelOnly="1" fieldPosition="0">
        <references count="1">
          <reference field="1" count="0"/>
        </references>
      </pivotArea>
    </format>
  </formats>
  <chartFormats count="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0C5CC7-6294-4473-8670-D0E339946A64}" name="PivotTable11" cacheId="4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23:A24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Purchase Units" fld="0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/>
    <pivotHierarchy dragToData="1" caption="Stock Amount"/>
    <pivotHierarchy dragToData="1"/>
    <pivotHierarchy dragToData="1"/>
    <pivotHierarchy dragToData="1"/>
    <pivotHierarchy dragToData="1" caption="Total Purchase Units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BE72D6-760B-42C5-861B-21AEB2C82A2B}" name="PivotTable12" cacheId="44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9" rowHeaderCaption="Product">
  <location ref="S11:S12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Stock" fld="0" baseField="0" baseItem="0"/>
  </dataFields>
  <chartFormats count="1"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1EDCC8-D8E0-47BD-8C40-1C269698B7CB}" name="PivotTable15" cacheId="41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9" rowHeaderCaption="Product">
  <location ref="S15:S16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 numFmtId="2"/>
  </dataFields>
  <formats count="1">
    <format dxfId="2">
      <pivotArea outline="0" collapsedLevelsAreSubtotals="1" fieldPosition="0"/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ECFD00-71B1-4002-AE67-49E2BB91611E}" name="PivotTable9" cacheId="38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8" rowHeaderCaption="Product">
  <location ref="P6:Q27" firstHeaderRow="1" firstDataRow="1" firstDataCol="1"/>
  <pivotFields count="2">
    <pivotField axis="axisRow" allDrilled="1" subtotalTop="0" showAll="0" measureFilter="1" sortType="descending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21">
    <i>
      <x v="20"/>
    </i>
    <i>
      <x v="15"/>
    </i>
    <i>
      <x v="13"/>
    </i>
    <i>
      <x v="3"/>
    </i>
    <i>
      <x v="19"/>
    </i>
    <i>
      <x v="5"/>
    </i>
    <i>
      <x v="9"/>
    </i>
    <i>
      <x v="17"/>
    </i>
    <i>
      <x v="2"/>
    </i>
    <i>
      <x v="7"/>
    </i>
    <i>
      <x/>
    </i>
    <i>
      <x v="16"/>
    </i>
    <i>
      <x v="11"/>
    </i>
    <i>
      <x v="18"/>
    </i>
    <i>
      <x v="12"/>
    </i>
    <i>
      <x v="4"/>
    </i>
    <i>
      <x v="6"/>
    </i>
    <i>
      <x v="8"/>
    </i>
    <i>
      <x v="1"/>
    </i>
    <i>
      <x v="14"/>
    </i>
    <i>
      <x v="10"/>
    </i>
  </rowItems>
  <colItems count="1">
    <i/>
  </colItems>
  <dataFields count="1">
    <dataField name="Stock" fld="1" baseField="0" baseItem="0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Stock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valueLessThanOrEqual" id="1" iMeasureHier="55">
      <autoFilter ref="A1">
        <filterColumn colId="0">
          <customFilters>
            <customFilter operator="lessThanOrEqual" val="2"/>
          </customFilters>
        </filterColumn>
      </autoFilter>
    </filter>
  </filters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8CA69-231D-4311-84FB-1E184B5EBF1D}" name="PivotTable5" cacheId="4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17:A18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Stock Amount" fld="0" baseField="0" baseItem="0" numFmtId="167"/>
  </dataFields>
  <formats count="1">
    <format dxfId="3">
      <pivotArea outline="0" collapsedLevelsAreSubtotals="1" fieldPosition="0"/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/>
    <pivotHierarchy dragToData="1" caption="Stock Amount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AFC962-732C-443B-B3BA-FF6D93B92B87}" name="PivotTable14" cacheId="47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10" rowHeaderCaption="Product">
  <location ref="I20:J30" firstHeaderRow="1" firstDataRow="1" firstDataCol="1"/>
  <pivotFields count="2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4"/>
    </i>
    <i>
      <x v="5"/>
    </i>
    <i>
      <x v="3"/>
    </i>
    <i>
      <x/>
    </i>
    <i>
      <x v="9"/>
    </i>
    <i>
      <x v="7"/>
    </i>
    <i>
      <x v="1"/>
    </i>
    <i>
      <x v="8"/>
    </i>
    <i>
      <x v="2"/>
    </i>
    <i>
      <x v="6"/>
    </i>
  </rowItems>
  <colItems count="1">
    <i/>
  </colItems>
  <dataFields count="1">
    <dataField name="Quantity" fld="1" baseField="0" baseItem="0"/>
  </dataFields>
  <chartFormats count="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4" iMeasureHier="54">
      <autoFilter ref="A1">
        <filterColumn colId="0">
          <top10 top="0" val="10" filterVal="10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2D2AF8-AE9B-46EE-A413-E549738731DC}" name="PivotTable4" cacheId="3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14:A15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Cost" fld="0" baseField="0" baseItem="0" numFmtId="167"/>
  </dataFields>
  <formats count="1">
    <format dxfId="4">
      <pivotArea outline="0" collapsedLevelsAreSubtotals="1" fieldPosition="0"/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 caption="Total Cos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Purchase_Ent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8B9EC-2C3B-4D1A-89DD-55E1D326EB1F}" name="PivotTable8" cacheId="49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rowHeaderCaption="Product">
  <location ref="A26:A27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1D06C-A784-4C7A-AA86-21DC3CA32059}" name="NoSales" cacheId="52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rowHeaderCaption="Product">
  <location ref="L20:L23" firstHeaderRow="1" firstDataRow="1" firstDataCol="1"/>
  <pivotFields count="1">
    <pivotField axis="axisRow" allDrilled="1" subtotalTop="0" showAll="0" measureFilter="1" dataSourceSort="1" defaultSubtotal="0" defaultAttributeDrillState="1">
      <items count="3">
        <item x="0"/>
        <item x="1"/>
        <item x="2"/>
      </items>
    </pivotField>
  </pivotFields>
  <rowFields count="1">
    <field x="0"/>
  </rowFields>
  <rowItems count="3">
    <i>
      <x/>
    </i>
    <i>
      <x v="1"/>
    </i>
    <i>
      <x v="2"/>
    </i>
  </rowItem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valueEqual" id="2" iMeasureHier="56">
      <autoFilter ref="A1">
        <filterColumn colId="0">
          <customFilters>
            <customFilter val="0"/>
          </customFilters>
        </filterColumn>
      </autoFilter>
    </filter>
  </filters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8265D-6C9B-4397-8E48-657862D4ACBD}" name="PivotTable2" cacheId="5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8:A9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Products" fld="0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177429-0A3F-4788-A27B-A99D3E09EF28}" name="PivotTable3" cacheId="51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11:A12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Sales" fld="0" baseField="0" baseItem="2" numFmtId="167"/>
  </dataFields>
  <formats count="2">
    <format dxfId="6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E6D102-4829-4DC3-ACA5-C663A096CCBF}" name="PivotTable6" cacheId="43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10" rowHeaderCaption="Product">
  <location ref="I6:J16" firstHeaderRow="1" firstDataRow="1" firstDataCol="1"/>
  <pivotFields count="2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4"/>
    </i>
    <i>
      <x v="1"/>
    </i>
    <i>
      <x v="2"/>
    </i>
    <i>
      <x v="5"/>
    </i>
    <i>
      <x/>
    </i>
    <i>
      <x v="9"/>
    </i>
    <i>
      <x v="7"/>
    </i>
    <i>
      <x v="6"/>
    </i>
    <i>
      <x v="8"/>
    </i>
    <i>
      <x v="3"/>
    </i>
  </rowItems>
  <colItems count="1">
    <i/>
  </colItems>
  <dataFields count="1">
    <dataField name="Quantity" fld="1" baseField="0" baseItem="0"/>
  </dataFields>
  <chartFormats count="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3" iMeasureHier="54">
      <autoFilter ref="A1">
        <filterColumn colId="0">
          <top10 val="10" filterVal="10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799ED-7233-4DB5-8AE2-EE63C831D923}" name="PivotTable17" cacheId="45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9" rowHeaderCaption="Product">
  <location ref="S21:T22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 numFmtId="10"/>
    <dataField fld="1" subtotal="count" baseField="0" baseItem="0"/>
  </dataFields>
  <formats count="2">
    <format dxfId="8">
      <pivotArea outline="0" collapsedLevelsAreSubtotals="1" fieldPosition="0"/>
    </format>
    <format dxfId="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E01EBB-3784-472E-A9C4-FEF350A1A671}" name="PivotTable7" cacheId="36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25" rowHeaderCaption="Product">
  <location ref="L6:M10" firstHeaderRow="1" firstDataRow="1" firstDataCol="1"/>
  <pivotFields count="2">
    <pivotField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4">
    <i>
      <x v="2"/>
    </i>
    <i>
      <x v="3"/>
    </i>
    <i>
      <x/>
    </i>
    <i>
      <x v="1"/>
    </i>
  </rowItems>
  <colItems count="1">
    <i/>
  </colItems>
  <dataFields count="1">
    <dataField name="Sales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6F184-BC6C-40AE-9B75-F47589DC83C1}" name="PivotTable16" cacheId="37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rowHeaderCaption="Product">
  <location ref="A20:A21" firstHeaderRow="1" firstDataRow="1" firstDataCol="0"/>
  <pivotFields count="2">
    <pivotField allDrilled="1" subtotalTop="0" showAll="0" measureFilter="1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Items count="1">
    <i/>
  </rowItems>
  <colItems count="1">
    <i/>
  </colItems>
  <dataFields count="1">
    <dataField fld="1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 caption="Count of Stock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valueEqual" id="1" iMeasureHier="55">
      <autoFilter ref="A1">
        <filterColumn colId="0">
          <customFilters>
            <customFilter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F568A9-DDDC-4C34-BAFB-6F68DDAD155B}" name="Orders" displayName="Orders" ref="F7:N177" totalsRowShown="0" headerRowDxfId="90" dataDxfId="89">
  <autoFilter ref="F7:N177" xr:uid="{71F568A9-DDDC-4C34-BAFB-6F68DDAD155B}"/>
  <tableColumns count="9">
    <tableColumn id="1" xr3:uid="{36C98514-F1A0-4FA3-96A0-C7F13AB5FF2F}" name="Date" dataDxfId="88"/>
    <tableColumn id="2" xr3:uid="{600C6CD3-25A4-4FA0-9FF0-8C68BF991CCF}" name="Category" dataDxfId="87"/>
    <tableColumn id="3" xr3:uid="{89AF5E6C-26DE-4868-A701-B738D848CD11}" name="Product" dataDxfId="86"/>
    <tableColumn id="4" xr3:uid="{53568B4F-65B6-4321-88E7-AA8C2DAA4610}" name="ProductID" dataDxfId="85"/>
    <tableColumn id="5" xr3:uid="{596F2D64-602B-44E1-B25D-C0099E8EB77F}" name="Customer" dataDxfId="84"/>
    <tableColumn id="6" xr3:uid="{DB557A29-7372-4FF6-8498-5C3DCCCB5F59}" name="Price" dataDxfId="83"/>
    <tableColumn id="7" xr3:uid="{3405258A-F6C8-40F1-ACE9-ED58D971046F}" name="Quantity" dataDxfId="82"/>
    <tableColumn id="8" xr3:uid="{32B26810-0E1C-450A-B396-19BFA67D4E2A}" name="Amount" dataDxfId="81"/>
    <tableColumn id="9" xr3:uid="{D56466F0-485E-4A01-BB32-A017A3DFFC15}" name="Sales Channel" dataDxfId="8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FD14886-D27C-4BA9-9E4A-E355E37BE750}" name="Purchase_Entry" displayName="Purchase_Entry" ref="F7:M54" totalsRowShown="0" headerRowDxfId="79" dataDxfId="78">
  <autoFilter ref="F7:M54" xr:uid="{FFD14886-D27C-4BA9-9E4A-E355E37BE750}"/>
  <tableColumns count="8">
    <tableColumn id="1" xr3:uid="{831B3D90-7646-4499-A3D1-7B049E66FA14}" name="Date" dataDxfId="77"/>
    <tableColumn id="2" xr3:uid="{A958AD7C-1DC3-471E-8E24-825FE556122B}" name="Category" dataDxfId="76"/>
    <tableColumn id="3" xr3:uid="{CC0251A7-B3D3-40D8-BF52-3A6C997A5FFC}" name="Product" dataDxfId="75"/>
    <tableColumn id="4" xr3:uid="{C2D1B003-2BBB-4E3C-BCB2-E6CD69955140}" name="ProductID" dataDxfId="74"/>
    <tableColumn id="5" xr3:uid="{92FBE06B-E18A-4DC6-B735-61375E686F29}" name="Vendor" dataDxfId="73"/>
    <tableColumn id="6" xr3:uid="{9CCA5714-3CC6-4DA3-BC02-57C3CD510B8A}" name="Cost" dataDxfId="72"/>
    <tableColumn id="7" xr3:uid="{CF0EFA0A-DCCC-4CB9-8E70-B88135722F3F}" name="Quantity" dataDxfId="71"/>
    <tableColumn id="8" xr3:uid="{37899EE1-145A-40E5-93F9-BF481B89CBAA}" name="Total Cost" dataDxfId="7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5D14E61-76AB-490C-9EEA-E744A8571DC0}" name="Inventory" displayName="Inventory" ref="F7:M53" totalsRowShown="0" headerRowDxfId="66" dataDxfId="65">
  <autoFilter ref="F7:M53" xr:uid="{85D14E61-76AB-490C-9EEA-E744A8571DC0}"/>
  <tableColumns count="8">
    <tableColumn id="1" xr3:uid="{34B58648-D80C-43A8-BA63-BD992D54A642}" name="ProductID" dataDxfId="64"/>
    <tableColumn id="2" xr3:uid="{24A9CB26-FCB3-4936-9518-839E03EAB0BD}" name="Product" dataDxfId="63"/>
    <tableColumn id="3" xr3:uid="{7490BF4D-5BAA-4D65-91EF-3857391D0920}" name="Cost" dataDxfId="62" dataCellStyle="Comma"/>
    <tableColumn id="4" xr3:uid="{522717D5-D023-448A-8EEA-067826CD1366}" name="Purchase Units" dataDxfId="61">
      <calculatedColumnFormula>SUMIF(Purchase_Entry[Product],Inventory[[#This Row],[Product]],Purchase_Entry[Quantity])</calculatedColumnFormula>
    </tableColumn>
    <tableColumn id="5" xr3:uid="{B5388E8E-7167-4D92-BE06-27A06527CC6C}" name="Sales Units" dataDxfId="60">
      <calculatedColumnFormula>SUMIF(Orders[Product],Inventory[[#This Row],[Product]],Orders[Quantity])</calculatedColumnFormula>
    </tableColumn>
    <tableColumn id="6" xr3:uid="{30068E6B-82D7-4007-9907-DAD4A6FA7A9F}" name="Stock" dataDxfId="59">
      <calculatedColumnFormula>Inventory[[#This Row],[Purchase Units]]-Inventory[[#This Row],[Sales Units]]</calculatedColumnFormula>
    </tableColumn>
    <tableColumn id="7" xr3:uid="{2AAAA749-C2C8-456E-8171-0A6108E3651C}" name="Stock Amount" dataDxfId="58">
      <calculatedColumnFormula>Inventory[[#This Row],[Cost]]*Inventory[[#This Row],[Stock]]</calculatedColumnFormula>
    </tableColumn>
    <tableColumn id="8" xr3:uid="{B80FA180-B871-446D-BB2A-E4FD0DA560A3}" name="Remark" dataDxfId="57">
      <calculatedColumnFormula>IF(Inventory[[#This Row],[Stock]]=0, "Out of Stock", IF(Inventory[[#This Row],[Stock]]&lt;=2, "Low Stock", "In Stock"))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4870B1-88E1-4BEA-86B6-26834DE6295D}" name="Products" displayName="Products" ref="F7:J53" totalsRowShown="0" headerRowDxfId="56" dataDxfId="55">
  <autoFilter ref="F7:J53" xr:uid="{E94870B1-88E1-4BEA-86B6-26834DE6295D}"/>
  <tableColumns count="5">
    <tableColumn id="1" xr3:uid="{61F49955-939B-42A5-8283-C3CE8661474A}" name="ProductID" dataDxfId="54"/>
    <tableColumn id="2" xr3:uid="{EF3192C0-2A80-4960-BAD3-6F28480CAB38}" name="Product" dataDxfId="53"/>
    <tableColumn id="3" xr3:uid="{2365F376-754C-4FAB-AA2B-4F6502EA892A}" name="Category" dataDxfId="52"/>
    <tableColumn id="4" xr3:uid="{54346830-0B4D-454C-9F93-30A2347E3549}" name="Cost" dataDxfId="51" dataCellStyle="Comma"/>
    <tableColumn id="5" xr3:uid="{CE2371CC-EA01-420E-BDF4-4932EEBADD26}" name="Price" dataDxfId="50" dataCellStyle="Comma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2AC9B-DEF5-4EC2-9C92-D8B78F07FBC0}" name="Category" displayName="Category" ref="F7:F15" totalsRowShown="0" headerRowDxfId="49" dataDxfId="48">
  <autoFilter ref="F7:F15" xr:uid="{9BB2AC9B-DEF5-4EC2-9C92-D8B78F07FBC0}"/>
  <tableColumns count="1">
    <tableColumn id="1" xr3:uid="{E193C084-0843-4734-AAEB-F5287D26123A}" name="Category" dataDxfId="47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F9678-48B7-4F02-8F96-01ACC14EF439}" name="Journal" displayName="Journal" ref="H7:H12" totalsRowShown="0" headerRowDxfId="46" dataDxfId="45">
  <autoFilter ref="H7:H12" xr:uid="{FB1F9678-48B7-4F02-8F96-01ACC14EF439}"/>
  <tableColumns count="1">
    <tableColumn id="1" xr3:uid="{5998449D-F736-4900-BD4E-7D6019599CB6}" name="Journal" dataDxfId="44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9DE6A8-6B03-4F67-87BF-C26404ED8F89}" name="Cups" displayName="Cups" ref="I7:I15" totalsRowShown="0" headerRowDxfId="43" dataDxfId="42">
  <autoFilter ref="I7:I15" xr:uid="{C59DE6A8-6B03-4F67-87BF-C26404ED8F89}"/>
  <tableColumns count="1">
    <tableColumn id="1" xr3:uid="{92282B09-91C8-4864-B8B7-F587B3D6C9CC}" name="Cups" dataDxfId="4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197D15-1A79-481C-931C-D0FE47BA1CFB}" name="Waterbottles" displayName="Waterbottles" ref="J7:J11" totalsRowShown="0" headerRowDxfId="40" dataDxfId="39">
  <autoFilter ref="J7:J11" xr:uid="{9A197D15-1A79-481C-931C-D0FE47BA1CFB}"/>
  <tableColumns count="1">
    <tableColumn id="1" xr3:uid="{3D3E5D6A-2772-4AAF-B221-8F724B4024B2}" name="Waterbottles" dataDxfId="38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CC2D88-0CF0-4BC4-BC16-B15B1299BABB}" name="Thermal_Flask" displayName="Thermal_Flask" ref="K7:K10" totalsRowShown="0" headerRowDxfId="37" dataDxfId="36">
  <autoFilter ref="K7:K10" xr:uid="{D7CC2D88-0CF0-4BC4-BC16-B15B1299BABB}"/>
  <tableColumns count="1">
    <tableColumn id="1" xr3:uid="{DE142BAC-E498-4D29-B810-052E16E2A9B8}" name="Thermal_Flask" dataDxfId="35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0F5AB4-EEE9-4FB5-86E0-747419BD1524}" name="Jewellry_Accessories" displayName="Jewellry_Accessories" ref="L7:L22" totalsRowShown="0" headerRowDxfId="34" dataDxfId="33">
  <autoFilter ref="L7:L22" xr:uid="{790F5AB4-EEE9-4FB5-86E0-747419BD1524}"/>
  <tableColumns count="1">
    <tableColumn id="1" xr3:uid="{A889BEAD-704C-402F-931D-C3104D659C1C}" name="Jewellry_Accessories" dataDxfId="3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9BD0C0-0BEC-471C-9C68-17DB817AA417}" name="Stationeries" displayName="Stationeries" ref="M7:M9" totalsRowShown="0" headerRowDxfId="31" dataDxfId="30">
  <autoFilter ref="M7:M9" xr:uid="{919BD0C0-0BEC-471C-9C68-17DB817AA417}"/>
  <tableColumns count="1">
    <tableColumn id="1" xr3:uid="{62BE781A-EDDB-4011-9E0A-36E362ADEC44}" name="Stationeries" dataDxfId="29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6998B3D-903F-44AD-B606-ECFCE1D8BC20}" name="Appliances" displayName="Appliances" ref="N7:N12" totalsRowShown="0" headerRowDxfId="28" dataDxfId="27">
  <autoFilter ref="N7:N12" xr:uid="{46998B3D-903F-44AD-B606-ECFCE1D8BC20}"/>
  <tableColumns count="1">
    <tableColumn id="1" xr3:uid="{0A2E01D8-D50C-4602-813C-6C91AB27716C}" name="Appliances" dataDxfId="2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9EFCD5-8E3E-4C53-89F9-0CD8E583E201}" name="Packaging_Materials" displayName="Packaging_Materials" ref="O7:O11" totalsRowShown="0" headerRowDxfId="25" dataDxfId="24">
  <autoFilter ref="O7:O11" xr:uid="{459EFCD5-8E3E-4C53-89F9-0CD8E583E201}"/>
  <tableColumns count="1">
    <tableColumn id="1" xr3:uid="{236FD4D7-0C10-4617-BD41-18E219E91D88}" name="Packaging_Materials" dataDxfId="23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9A43-D66E-4415-8F3B-BC67A98D79AF}" name="Customers" displayName="Customers" ref="F8:I46" totalsRowShown="0" headerRowDxfId="22" dataDxfId="21">
  <autoFilter ref="F8:I46" xr:uid="{DC749A43-D66E-4415-8F3B-BC67A98D79AF}"/>
  <tableColumns count="4">
    <tableColumn id="1" xr3:uid="{899EE3B4-FE5B-4680-9079-348C428F2547}" name="CustomerID" dataDxfId="20"/>
    <tableColumn id="2" xr3:uid="{DCD49B4F-BEE4-417C-9F86-4FD68252D1EE}" name="Name" dataDxfId="19"/>
    <tableColumn id="3" xr3:uid="{8AF152F3-12BC-4441-A064-45E0157430EC}" name="Phone Number" dataDxfId="18"/>
    <tableColumn id="5" xr3:uid="{BB7432B5-0D53-4DD7-BD28-A0935CC27163}" name="Address" dataDxfId="17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5F85ED-C501-4672-83D1-009DB07F00B8}" name="Vendor" displayName="Vendor" ref="F7:I12" totalsRowShown="0" headerRowDxfId="16" dataDxfId="15">
  <autoFilter ref="F7:I12" xr:uid="{845F85ED-C501-4672-83D1-009DB07F00B8}"/>
  <tableColumns count="4">
    <tableColumn id="1" xr3:uid="{33513AB4-30F3-4D62-A91B-F8D7B9B6F4C5}" name="VendorID" dataDxfId="14"/>
    <tableColumn id="2" xr3:uid="{F0A5BB16-2907-4CC1-A901-F41440DA692B}" name="Vendor Name" dataDxfId="13"/>
    <tableColumn id="3" xr3:uid="{C3F507F2-E37D-4A1C-A039-5B4876167238}" name="Phone Number" dataDxfId="12"/>
    <tableColumn id="4" xr3:uid="{B4BFB1C4-D3DD-4F42-A1B2-9DBA5CC32A27}" name="Address" dataDxfId="1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03793-CBBC-40BD-9318-986F50414A59}">
  <sheetPr codeName="Sheet1"/>
  <dimension ref="A1"/>
  <sheetViews>
    <sheetView tabSelected="1" zoomScaleNormal="100" workbookViewId="0"/>
  </sheetViews>
  <sheetFormatPr defaultRowHeight="14.4" x14ac:dyDescent="0.3"/>
  <cols>
    <col min="1" max="16384" width="8.88671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6B15-7EEF-4B59-8E63-D8B0EB18A03A}">
  <sheetPr codeName="Sheet2"/>
  <dimension ref="F10:N30"/>
  <sheetViews>
    <sheetView workbookViewId="0">
      <selection activeCell="F25" sqref="F25:N25"/>
    </sheetView>
  </sheetViews>
  <sheetFormatPr defaultRowHeight="14.4" x14ac:dyDescent="0.3"/>
  <cols>
    <col min="1" max="5" width="8.88671875" style="1"/>
    <col min="6" max="6" width="13.77734375" style="1" customWidth="1"/>
    <col min="7" max="7" width="27.44140625" style="1" customWidth="1"/>
    <col min="8" max="11" width="8.88671875" style="1"/>
    <col min="12" max="12" width="12.6640625" style="1" bestFit="1" customWidth="1"/>
    <col min="13" max="13" width="28" style="1" customWidth="1"/>
    <col min="14" max="16384" width="8.88671875" style="1"/>
  </cols>
  <sheetData>
    <row r="10" spans="6:13" ht="15" thickBot="1" x14ac:dyDescent="0.35"/>
    <row r="11" spans="6:13" x14ac:dyDescent="0.3">
      <c r="F11" s="2" t="s">
        <v>127</v>
      </c>
      <c r="G11" s="6">
        <v>45688</v>
      </c>
      <c r="L11" s="2" t="s">
        <v>127</v>
      </c>
      <c r="M11" s="6">
        <v>45688</v>
      </c>
    </row>
    <row r="12" spans="6:13" x14ac:dyDescent="0.3">
      <c r="F12" s="3" t="s">
        <v>2</v>
      </c>
      <c r="G12" s="7" t="s">
        <v>19</v>
      </c>
      <c r="L12" s="3" t="s">
        <v>2</v>
      </c>
      <c r="M12" s="7" t="s">
        <v>4</v>
      </c>
    </row>
    <row r="13" spans="6:13" x14ac:dyDescent="0.3">
      <c r="F13" s="3" t="s">
        <v>1</v>
      </c>
      <c r="G13" s="7" t="s">
        <v>21</v>
      </c>
      <c r="L13" s="3" t="s">
        <v>1</v>
      </c>
      <c r="M13" s="7" t="s">
        <v>5</v>
      </c>
    </row>
    <row r="14" spans="6:13" x14ac:dyDescent="0.3">
      <c r="F14" s="3" t="s">
        <v>0</v>
      </c>
      <c r="G14" s="7" t="str">
        <f>_xlfn.XLOOKUP(G13,Products[Product],Products[ProductID])</f>
        <v>PRD016</v>
      </c>
      <c r="L14" s="3" t="s">
        <v>0</v>
      </c>
      <c r="M14" s="7" t="str">
        <f>_xlfn.XLOOKUP(M13,Products[[#All],[Product]],Products[[#All],[ProductID]])</f>
        <v>PRD002</v>
      </c>
    </row>
    <row r="15" spans="6:13" x14ac:dyDescent="0.3">
      <c r="F15" s="3" t="s">
        <v>130</v>
      </c>
      <c r="G15" s="7" t="s">
        <v>119</v>
      </c>
      <c r="L15" s="3" t="s">
        <v>126</v>
      </c>
      <c r="M15" s="7" t="s">
        <v>220</v>
      </c>
    </row>
    <row r="16" spans="6:13" x14ac:dyDescent="0.3">
      <c r="F16" s="3" t="s">
        <v>58</v>
      </c>
      <c r="G16" s="9">
        <f>_xlfn.XLOOKUP(G13,Products[Product],Products[Price])</f>
        <v>5000</v>
      </c>
      <c r="L16" s="3" t="s">
        <v>57</v>
      </c>
      <c r="M16" s="7">
        <f>_xlfn.XLOOKUP(M13,Products[Product],Products[Cost])</f>
        <v>2200</v>
      </c>
    </row>
    <row r="17" spans="6:14" x14ac:dyDescent="0.3">
      <c r="F17" s="3" t="s">
        <v>128</v>
      </c>
      <c r="G17" s="7">
        <v>1</v>
      </c>
      <c r="L17" s="3" t="s">
        <v>128</v>
      </c>
      <c r="M17" s="7">
        <v>4</v>
      </c>
    </row>
    <row r="18" spans="6:14" ht="15" thickBot="1" x14ac:dyDescent="0.35">
      <c r="F18" s="3" t="s">
        <v>131</v>
      </c>
      <c r="G18" s="17">
        <f>PRODUCT(G16,G17)</f>
        <v>5000</v>
      </c>
      <c r="L18" s="4" t="s">
        <v>129</v>
      </c>
      <c r="M18" s="15">
        <f>PRODUCT(M16,M17)</f>
        <v>8800</v>
      </c>
    </row>
    <row r="19" spans="6:14" ht="15" thickBot="1" x14ac:dyDescent="0.35">
      <c r="F19" s="4" t="s">
        <v>228</v>
      </c>
      <c r="G19" s="10" t="s">
        <v>229</v>
      </c>
    </row>
    <row r="23" spans="6:14" x14ac:dyDescent="0.3">
      <c r="F23" s="12"/>
      <c r="G23" s="11"/>
    </row>
    <row r="24" spans="6:14" x14ac:dyDescent="0.3">
      <c r="F24" s="12"/>
      <c r="G24" s="11"/>
    </row>
    <row r="25" spans="6:14" x14ac:dyDescent="0.3">
      <c r="F25" s="35">
        <f>G11</f>
        <v>45688</v>
      </c>
      <c r="G25" s="36" t="str">
        <f>G12</f>
        <v>Waterbottles</v>
      </c>
      <c r="H25" s="37" t="str">
        <f>G13</f>
        <v>Infuser Bottle</v>
      </c>
      <c r="I25" s="37" t="str">
        <f>G14</f>
        <v>PRD016</v>
      </c>
      <c r="J25" s="37" t="str">
        <f>G15</f>
        <v>Uchenna Amadi</v>
      </c>
      <c r="K25" s="37">
        <f>G16</f>
        <v>5000</v>
      </c>
      <c r="L25" s="37">
        <f>G17</f>
        <v>1</v>
      </c>
      <c r="M25" s="37">
        <f>G18</f>
        <v>5000</v>
      </c>
      <c r="N25" s="37" t="str">
        <f>G19</f>
        <v>Tiktok</v>
      </c>
    </row>
    <row r="26" spans="6:14" x14ac:dyDescent="0.3">
      <c r="F26" s="35">
        <f>M11</f>
        <v>45688</v>
      </c>
      <c r="G26" s="36" t="str">
        <f>M12</f>
        <v>Journal</v>
      </c>
      <c r="H26" s="37" t="str">
        <f>M13</f>
        <v>Strap Journal</v>
      </c>
      <c r="I26" s="37" t="str">
        <f>M14</f>
        <v>PRD002</v>
      </c>
      <c r="J26" s="37" t="str">
        <f>M15</f>
        <v>M&amp;K Enterprises</v>
      </c>
      <c r="K26" s="37">
        <f>M16</f>
        <v>2200</v>
      </c>
      <c r="L26" s="37">
        <f>M17</f>
        <v>4</v>
      </c>
      <c r="M26" s="37">
        <f>M18</f>
        <v>8800</v>
      </c>
      <c r="N26" s="37"/>
    </row>
    <row r="27" spans="6:14" x14ac:dyDescent="0.3">
      <c r="F27" s="12"/>
      <c r="G27" s="11"/>
    </row>
    <row r="28" spans="6:14" x14ac:dyDescent="0.3">
      <c r="F28" s="12"/>
      <c r="G28" s="11"/>
    </row>
    <row r="29" spans="6:14" x14ac:dyDescent="0.3">
      <c r="F29" s="12"/>
      <c r="G29" s="11"/>
    </row>
    <row r="30" spans="6:14" x14ac:dyDescent="0.3">
      <c r="G30" s="11"/>
    </row>
  </sheetData>
  <protectedRanges>
    <protectedRange algorithmName="SHA-512" hashValue="hM+TEEWxyhffxYi93uA7LDxU60sokSJz2uIlNzLDAReh/7gsfc5xGm2jCAZE0VkW5k3MwCTOTaz2DQkA9uE+kw==" saltValue="hpLBhh73fLb0JZC4BE9bqw==" spinCount="100000" sqref="F25:N26" name="Range1"/>
  </protectedRanges>
  <dataConsolidate/>
  <dataValidations count="5">
    <dataValidation type="list" allowBlank="1" showInputMessage="1" showErrorMessage="1" sqref="G13 M13" xr:uid="{CB4755FE-C7C0-4141-B557-A29E5DC36BDC}">
      <formula1>INDIRECT(G12)</formula1>
    </dataValidation>
    <dataValidation type="list" allowBlank="1" showInputMessage="1" showErrorMessage="1" sqref="G12 M12" xr:uid="{D3A22D00-A557-4576-A601-1D322E2278A5}">
      <formula1>Categories</formula1>
    </dataValidation>
    <dataValidation type="list" allowBlank="1" showInputMessage="1" showErrorMessage="1" sqref="G15" xr:uid="{AE8D0D3B-995D-4E25-BEE1-3737B3D7C540}">
      <formula1>Customer</formula1>
    </dataValidation>
    <dataValidation type="list" allowBlank="1" showInputMessage="1" showErrorMessage="1" sqref="M15" xr:uid="{A7BE854C-A54B-485B-9054-36550E3F205A}">
      <formula1>Vendor_Name</formula1>
    </dataValidation>
    <dataValidation type="list" allowBlank="1" showInputMessage="1" showErrorMessage="1" sqref="G19" xr:uid="{BB096D8D-E4D3-484C-925A-8BC6594F3BAB}">
      <formula1>"Tiktok, WhatsApp, Instagram, Offline"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Sales_Entry">
                <anchor moveWithCells="1" sizeWithCells="1">
                  <from>
                    <xdr:col>7</xdr:col>
                    <xdr:colOff>198120</xdr:colOff>
                    <xdr:row>15</xdr:row>
                    <xdr:rowOff>114300</xdr:rowOff>
                  </from>
                  <to>
                    <xdr:col>8</xdr:col>
                    <xdr:colOff>548640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Module3.Purchase_Entry">
                <anchor moveWithCells="1" sizeWithCells="1">
                  <from>
                    <xdr:col>13</xdr:col>
                    <xdr:colOff>259080</xdr:colOff>
                    <xdr:row>15</xdr:row>
                    <xdr:rowOff>53340</xdr:rowOff>
                  </from>
                  <to>
                    <xdr:col>15</xdr:col>
                    <xdr:colOff>15240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AA83A-8251-4F77-A806-4759D0D87603}">
  <sheetPr codeName="Sheet3"/>
  <dimension ref="F7:N179"/>
  <sheetViews>
    <sheetView workbookViewId="0">
      <selection activeCell="O16" sqref="O16"/>
    </sheetView>
  </sheetViews>
  <sheetFormatPr defaultRowHeight="14.4" x14ac:dyDescent="0.3"/>
  <cols>
    <col min="1" max="5" width="8.88671875" style="1"/>
    <col min="6" max="6" width="9.6640625" style="1" bestFit="1" customWidth="1"/>
    <col min="7" max="7" width="11.77734375" style="1" bestFit="1" customWidth="1"/>
    <col min="8" max="8" width="15.44140625" style="1" bestFit="1" customWidth="1"/>
    <col min="9" max="9" width="11.6640625" style="1" bestFit="1" customWidth="1"/>
    <col min="10" max="10" width="13.44140625" style="1" bestFit="1" customWidth="1"/>
    <col min="11" max="11" width="7.33203125" style="1" bestFit="1" customWidth="1"/>
    <col min="12" max="12" width="10.5546875" style="1" bestFit="1" customWidth="1"/>
    <col min="13" max="13" width="10.109375" style="1" bestFit="1" customWidth="1"/>
    <col min="14" max="14" width="14.77734375" style="1" bestFit="1" customWidth="1"/>
    <col min="15" max="16384" width="8.88671875" style="1"/>
  </cols>
  <sheetData>
    <row r="7" spans="6:14" x14ac:dyDescent="0.3">
      <c r="F7" s="5" t="s">
        <v>127</v>
      </c>
      <c r="G7" s="5" t="s">
        <v>2</v>
      </c>
      <c r="H7" s="5" t="s">
        <v>1</v>
      </c>
      <c r="I7" s="5" t="s">
        <v>0</v>
      </c>
      <c r="J7" s="5" t="s">
        <v>130</v>
      </c>
      <c r="K7" s="5" t="s">
        <v>58</v>
      </c>
      <c r="L7" s="5" t="s">
        <v>128</v>
      </c>
      <c r="M7" s="5" t="s">
        <v>131</v>
      </c>
      <c r="N7" s="5" t="s">
        <v>228</v>
      </c>
    </row>
    <row r="8" spans="6:14" x14ac:dyDescent="0.3">
      <c r="F8" s="28"/>
      <c r="G8" s="16"/>
      <c r="H8" s="16"/>
      <c r="I8" s="16"/>
      <c r="J8" s="16"/>
      <c r="K8" s="16"/>
      <c r="L8" s="16"/>
      <c r="M8" s="16"/>
      <c r="N8" s="16"/>
    </row>
    <row r="9" spans="6:14" x14ac:dyDescent="0.3">
      <c r="F9" s="28">
        <v>45688</v>
      </c>
      <c r="G9" s="16" t="s">
        <v>19</v>
      </c>
      <c r="H9" s="16" t="s">
        <v>21</v>
      </c>
      <c r="I9" s="16" t="s">
        <v>150</v>
      </c>
      <c r="J9" s="16" t="s">
        <v>119</v>
      </c>
      <c r="K9" s="16">
        <v>5000</v>
      </c>
      <c r="L9" s="16">
        <v>1</v>
      </c>
      <c r="M9" s="16">
        <v>5000</v>
      </c>
      <c r="N9" s="16" t="s">
        <v>229</v>
      </c>
    </row>
    <row r="10" spans="6:14" x14ac:dyDescent="0.3">
      <c r="F10" s="28">
        <v>45688</v>
      </c>
      <c r="G10" s="16" t="s">
        <v>10</v>
      </c>
      <c r="H10" s="16" t="s">
        <v>17</v>
      </c>
      <c r="I10" s="16" t="s">
        <v>147</v>
      </c>
      <c r="J10" s="16" t="s">
        <v>205</v>
      </c>
      <c r="K10" s="16">
        <v>4500</v>
      </c>
      <c r="L10" s="16">
        <v>1</v>
      </c>
      <c r="M10" s="16">
        <v>4500</v>
      </c>
      <c r="N10" s="16" t="s">
        <v>229</v>
      </c>
    </row>
    <row r="11" spans="6:14" x14ac:dyDescent="0.3">
      <c r="F11" s="28">
        <v>45688</v>
      </c>
      <c r="G11" s="16" t="s">
        <v>47</v>
      </c>
      <c r="H11" s="16" t="s">
        <v>51</v>
      </c>
      <c r="I11" s="16" t="s">
        <v>176</v>
      </c>
      <c r="J11" s="16" t="s">
        <v>205</v>
      </c>
      <c r="K11" s="16">
        <v>5000</v>
      </c>
      <c r="L11" s="16">
        <v>1</v>
      </c>
      <c r="M11" s="16">
        <v>5000</v>
      </c>
      <c r="N11" s="16" t="s">
        <v>229</v>
      </c>
    </row>
    <row r="12" spans="6:14" x14ac:dyDescent="0.3">
      <c r="F12" s="28">
        <v>45688</v>
      </c>
      <c r="G12" s="16" t="s">
        <v>134</v>
      </c>
      <c r="H12" s="16" t="s">
        <v>54</v>
      </c>
      <c r="I12" s="16" t="s">
        <v>178</v>
      </c>
      <c r="J12" s="16" t="s">
        <v>205</v>
      </c>
      <c r="K12" s="16">
        <v>1000</v>
      </c>
      <c r="L12" s="16">
        <v>1</v>
      </c>
      <c r="M12" s="16">
        <v>1000</v>
      </c>
      <c r="N12" s="16" t="s">
        <v>229</v>
      </c>
    </row>
    <row r="13" spans="6:14" x14ac:dyDescent="0.3">
      <c r="F13" s="28">
        <v>45688</v>
      </c>
      <c r="G13" s="16" t="s">
        <v>133</v>
      </c>
      <c r="H13" s="16" t="s">
        <v>27</v>
      </c>
      <c r="I13" s="16" t="s">
        <v>155</v>
      </c>
      <c r="J13" s="16" t="s">
        <v>205</v>
      </c>
      <c r="K13" s="16">
        <v>2500</v>
      </c>
      <c r="L13" s="16">
        <v>1</v>
      </c>
      <c r="M13" s="16">
        <v>2500</v>
      </c>
      <c r="N13" s="16" t="s">
        <v>229</v>
      </c>
    </row>
    <row r="14" spans="6:14" x14ac:dyDescent="0.3">
      <c r="F14" s="28">
        <v>45688</v>
      </c>
      <c r="G14" s="16" t="s">
        <v>133</v>
      </c>
      <c r="H14" s="16" t="s">
        <v>31</v>
      </c>
      <c r="I14" s="16" t="s">
        <v>158</v>
      </c>
      <c r="J14" s="16" t="s">
        <v>205</v>
      </c>
      <c r="K14" s="16">
        <v>4500</v>
      </c>
      <c r="L14" s="16">
        <v>2</v>
      </c>
      <c r="M14" s="16">
        <v>9000</v>
      </c>
      <c r="N14" s="16" t="s">
        <v>229</v>
      </c>
    </row>
    <row r="15" spans="6:14" x14ac:dyDescent="0.3">
      <c r="F15" s="28">
        <v>45688</v>
      </c>
      <c r="G15" s="16" t="s">
        <v>133</v>
      </c>
      <c r="H15" s="16" t="s">
        <v>41</v>
      </c>
      <c r="I15" s="16" t="s">
        <v>168</v>
      </c>
      <c r="J15" s="16" t="s">
        <v>205</v>
      </c>
      <c r="K15" s="16">
        <v>5000</v>
      </c>
      <c r="L15" s="16">
        <v>1</v>
      </c>
      <c r="M15" s="16">
        <v>5000</v>
      </c>
      <c r="N15" s="16" t="s">
        <v>229</v>
      </c>
    </row>
    <row r="16" spans="6:14" x14ac:dyDescent="0.3">
      <c r="F16" s="28">
        <v>45688</v>
      </c>
      <c r="G16" s="16" t="s">
        <v>133</v>
      </c>
      <c r="H16" s="16" t="s">
        <v>32</v>
      </c>
      <c r="I16" s="16" t="s">
        <v>159</v>
      </c>
      <c r="J16" s="16" t="s">
        <v>205</v>
      </c>
      <c r="K16" s="16">
        <v>4500</v>
      </c>
      <c r="L16" s="16">
        <v>1</v>
      </c>
      <c r="M16" s="16">
        <v>4500</v>
      </c>
      <c r="N16" s="16" t="s">
        <v>229</v>
      </c>
    </row>
    <row r="17" spans="6:14" x14ac:dyDescent="0.3">
      <c r="F17" s="28">
        <v>45688</v>
      </c>
      <c r="G17" s="16" t="s">
        <v>133</v>
      </c>
      <c r="H17" s="16" t="s">
        <v>34</v>
      </c>
      <c r="I17" s="16" t="s">
        <v>161</v>
      </c>
      <c r="J17" s="16" t="s">
        <v>205</v>
      </c>
      <c r="K17" s="16">
        <v>6500</v>
      </c>
      <c r="L17" s="16">
        <v>1</v>
      </c>
      <c r="M17" s="16">
        <v>6500</v>
      </c>
      <c r="N17" s="16" t="s">
        <v>229</v>
      </c>
    </row>
    <row r="18" spans="6:14" x14ac:dyDescent="0.3">
      <c r="F18" s="28">
        <v>45688</v>
      </c>
      <c r="G18" s="16" t="s">
        <v>134</v>
      </c>
      <c r="H18" s="16" t="s">
        <v>56</v>
      </c>
      <c r="I18" s="16" t="s">
        <v>180</v>
      </c>
      <c r="J18" s="16" t="s">
        <v>205</v>
      </c>
      <c r="K18" s="16">
        <v>3500</v>
      </c>
      <c r="L18" s="16">
        <v>1</v>
      </c>
      <c r="M18" s="16">
        <v>3500</v>
      </c>
      <c r="N18" s="16" t="s">
        <v>229</v>
      </c>
    </row>
    <row r="19" spans="6:14" x14ac:dyDescent="0.3">
      <c r="F19" s="28">
        <v>45687</v>
      </c>
      <c r="G19" s="16" t="s">
        <v>10</v>
      </c>
      <c r="H19" s="16" t="s">
        <v>12</v>
      </c>
      <c r="I19" s="16" t="s">
        <v>142</v>
      </c>
      <c r="J19" s="16" t="s">
        <v>200</v>
      </c>
      <c r="K19" s="16">
        <v>4000</v>
      </c>
      <c r="L19" s="16">
        <v>1</v>
      </c>
      <c r="M19" s="16">
        <v>4000</v>
      </c>
      <c r="N19" s="16" t="s">
        <v>229</v>
      </c>
    </row>
    <row r="20" spans="6:14" x14ac:dyDescent="0.3">
      <c r="F20" s="28">
        <v>45687</v>
      </c>
      <c r="G20" s="16" t="s">
        <v>132</v>
      </c>
      <c r="H20" s="16" t="s">
        <v>25</v>
      </c>
      <c r="I20" s="16" t="s">
        <v>153</v>
      </c>
      <c r="J20" s="16" t="s">
        <v>200</v>
      </c>
      <c r="K20" s="16">
        <v>6000</v>
      </c>
      <c r="L20" s="16">
        <v>1</v>
      </c>
      <c r="M20" s="16">
        <v>6000</v>
      </c>
      <c r="N20" s="16" t="s">
        <v>229</v>
      </c>
    </row>
    <row r="21" spans="6:14" x14ac:dyDescent="0.3">
      <c r="F21" s="28">
        <v>45687</v>
      </c>
      <c r="G21" s="16" t="s">
        <v>134</v>
      </c>
      <c r="H21" s="16" t="s">
        <v>55</v>
      </c>
      <c r="I21" s="16" t="s">
        <v>179</v>
      </c>
      <c r="J21" s="16" t="s">
        <v>123</v>
      </c>
      <c r="K21" s="16">
        <v>2000</v>
      </c>
      <c r="L21" s="16">
        <v>2</v>
      </c>
      <c r="M21" s="16">
        <v>4000</v>
      </c>
      <c r="N21" s="16" t="s">
        <v>229</v>
      </c>
    </row>
    <row r="22" spans="6:14" x14ac:dyDescent="0.3">
      <c r="F22" s="28">
        <v>45687</v>
      </c>
      <c r="G22" s="16" t="s">
        <v>133</v>
      </c>
      <c r="H22" s="16" t="s">
        <v>36</v>
      </c>
      <c r="I22" s="16" t="s">
        <v>163</v>
      </c>
      <c r="J22" s="16" t="s">
        <v>123</v>
      </c>
      <c r="K22" s="16">
        <v>1000</v>
      </c>
      <c r="L22" s="16">
        <v>2</v>
      </c>
      <c r="M22" s="16">
        <v>2000</v>
      </c>
      <c r="N22" s="16" t="s">
        <v>229</v>
      </c>
    </row>
    <row r="23" spans="6:14" x14ac:dyDescent="0.3">
      <c r="F23" s="28">
        <v>45687</v>
      </c>
      <c r="G23" s="16" t="s">
        <v>133</v>
      </c>
      <c r="H23" s="16" t="s">
        <v>27</v>
      </c>
      <c r="I23" s="16" t="s">
        <v>155</v>
      </c>
      <c r="J23" s="16" t="s">
        <v>123</v>
      </c>
      <c r="K23" s="16">
        <v>2500</v>
      </c>
      <c r="L23" s="16">
        <v>1</v>
      </c>
      <c r="M23" s="16">
        <v>2500</v>
      </c>
      <c r="N23" s="16" t="s">
        <v>229</v>
      </c>
    </row>
    <row r="24" spans="6:14" x14ac:dyDescent="0.3">
      <c r="F24" s="28">
        <v>45687</v>
      </c>
      <c r="G24" s="16" t="s">
        <v>133</v>
      </c>
      <c r="H24" s="16" t="s">
        <v>34</v>
      </c>
      <c r="I24" s="16" t="s">
        <v>161</v>
      </c>
      <c r="J24" s="16" t="s">
        <v>123</v>
      </c>
      <c r="K24" s="16">
        <v>6500</v>
      </c>
      <c r="L24" s="16">
        <v>1</v>
      </c>
      <c r="M24" s="16">
        <v>6500</v>
      </c>
      <c r="N24" s="16" t="s">
        <v>229</v>
      </c>
    </row>
    <row r="25" spans="6:14" x14ac:dyDescent="0.3">
      <c r="F25" s="28">
        <v>45687</v>
      </c>
      <c r="G25" s="16" t="s">
        <v>133</v>
      </c>
      <c r="H25" s="16" t="s">
        <v>34</v>
      </c>
      <c r="I25" s="16" t="s">
        <v>161</v>
      </c>
      <c r="J25" s="16" t="s">
        <v>211</v>
      </c>
      <c r="K25" s="16">
        <v>6500</v>
      </c>
      <c r="L25" s="16">
        <v>1</v>
      </c>
      <c r="M25" s="16">
        <v>6500</v>
      </c>
      <c r="N25" s="16" t="s">
        <v>230</v>
      </c>
    </row>
    <row r="26" spans="6:14" x14ac:dyDescent="0.3">
      <c r="F26" s="28">
        <v>45687</v>
      </c>
      <c r="G26" s="16" t="s">
        <v>47</v>
      </c>
      <c r="H26" s="16" t="s">
        <v>49</v>
      </c>
      <c r="I26" s="16" t="s">
        <v>174</v>
      </c>
      <c r="J26" s="16" t="s">
        <v>211</v>
      </c>
      <c r="K26" s="16">
        <v>7500</v>
      </c>
      <c r="L26" s="16">
        <v>1</v>
      </c>
      <c r="M26" s="16">
        <v>7500</v>
      </c>
      <c r="N26" s="16" t="s">
        <v>230</v>
      </c>
    </row>
    <row r="27" spans="6:14" x14ac:dyDescent="0.3">
      <c r="F27" s="28">
        <v>45687</v>
      </c>
      <c r="G27" s="16" t="s">
        <v>47</v>
      </c>
      <c r="H27" s="16" t="s">
        <v>50</v>
      </c>
      <c r="I27" s="16" t="s">
        <v>175</v>
      </c>
      <c r="J27" s="16" t="s">
        <v>183</v>
      </c>
      <c r="K27" s="16">
        <v>7500</v>
      </c>
      <c r="L27" s="16">
        <v>1</v>
      </c>
      <c r="M27" s="16">
        <v>7500</v>
      </c>
      <c r="N27" s="16" t="s">
        <v>230</v>
      </c>
    </row>
    <row r="28" spans="6:14" x14ac:dyDescent="0.3">
      <c r="F28" s="28">
        <v>45687</v>
      </c>
      <c r="G28" s="16" t="s">
        <v>133</v>
      </c>
      <c r="H28" s="16" t="s">
        <v>36</v>
      </c>
      <c r="I28" s="16" t="s">
        <v>163</v>
      </c>
      <c r="J28" s="16" t="s">
        <v>183</v>
      </c>
      <c r="K28" s="16">
        <v>1000</v>
      </c>
      <c r="L28" s="16">
        <v>3</v>
      </c>
      <c r="M28" s="16">
        <v>3000</v>
      </c>
      <c r="N28" s="16" t="s">
        <v>230</v>
      </c>
    </row>
    <row r="29" spans="6:14" x14ac:dyDescent="0.3">
      <c r="F29" s="28">
        <v>45687</v>
      </c>
      <c r="G29" s="16" t="s">
        <v>133</v>
      </c>
      <c r="H29" s="16" t="s">
        <v>35</v>
      </c>
      <c r="I29" s="16" t="s">
        <v>162</v>
      </c>
      <c r="J29" s="16" t="s">
        <v>198</v>
      </c>
      <c r="K29" s="16">
        <v>500</v>
      </c>
      <c r="L29" s="16">
        <v>3</v>
      </c>
      <c r="M29" s="16">
        <v>1500</v>
      </c>
      <c r="N29" s="16" t="s">
        <v>248</v>
      </c>
    </row>
    <row r="30" spans="6:14" x14ac:dyDescent="0.3">
      <c r="F30" s="28">
        <v>45686</v>
      </c>
      <c r="G30" s="16" t="s">
        <v>133</v>
      </c>
      <c r="H30" s="16" t="s">
        <v>41</v>
      </c>
      <c r="I30" s="16" t="s">
        <v>168</v>
      </c>
      <c r="J30" s="16" t="s">
        <v>198</v>
      </c>
      <c r="K30" s="16">
        <v>5000</v>
      </c>
      <c r="L30" s="16">
        <v>1</v>
      </c>
      <c r="M30" s="16">
        <v>5000</v>
      </c>
      <c r="N30" s="16" t="s">
        <v>248</v>
      </c>
    </row>
    <row r="31" spans="6:14" x14ac:dyDescent="0.3">
      <c r="F31" s="28">
        <v>45686</v>
      </c>
      <c r="G31" s="16" t="s">
        <v>133</v>
      </c>
      <c r="H31" s="16" t="s">
        <v>41</v>
      </c>
      <c r="I31" s="16" t="s">
        <v>168</v>
      </c>
      <c r="J31" s="16" t="s">
        <v>194</v>
      </c>
      <c r="K31" s="16">
        <v>5000</v>
      </c>
      <c r="L31" s="16">
        <v>1</v>
      </c>
      <c r="M31" s="16">
        <v>5000</v>
      </c>
      <c r="N31" s="16" t="s">
        <v>229</v>
      </c>
    </row>
    <row r="32" spans="6:14" x14ac:dyDescent="0.3">
      <c r="F32" s="28">
        <v>45686</v>
      </c>
      <c r="G32" s="16" t="s">
        <v>47</v>
      </c>
      <c r="H32" s="16" t="s">
        <v>49</v>
      </c>
      <c r="I32" s="16" t="s">
        <v>174</v>
      </c>
      <c r="J32" s="16" t="s">
        <v>194</v>
      </c>
      <c r="K32" s="16">
        <v>7500</v>
      </c>
      <c r="L32" s="16">
        <v>1</v>
      </c>
      <c r="M32" s="16">
        <v>7500</v>
      </c>
      <c r="N32" s="16" t="s">
        <v>229</v>
      </c>
    </row>
    <row r="33" spans="6:14" x14ac:dyDescent="0.3">
      <c r="F33" s="28">
        <v>45686</v>
      </c>
      <c r="G33" s="16" t="s">
        <v>4</v>
      </c>
      <c r="H33" s="16" t="s">
        <v>5</v>
      </c>
      <c r="I33" s="16" t="s">
        <v>136</v>
      </c>
      <c r="J33" s="16" t="s">
        <v>194</v>
      </c>
      <c r="K33" s="16">
        <v>4000</v>
      </c>
      <c r="L33" s="16">
        <v>1</v>
      </c>
      <c r="M33" s="16">
        <v>4000</v>
      </c>
      <c r="N33" s="16" t="s">
        <v>229</v>
      </c>
    </row>
    <row r="34" spans="6:14" x14ac:dyDescent="0.3">
      <c r="F34" s="28">
        <v>45686</v>
      </c>
      <c r="G34" s="16" t="s">
        <v>133</v>
      </c>
      <c r="H34" s="16" t="s">
        <v>32</v>
      </c>
      <c r="I34" s="16" t="s">
        <v>159</v>
      </c>
      <c r="J34" s="16" t="s">
        <v>194</v>
      </c>
      <c r="K34" s="16">
        <v>4500</v>
      </c>
      <c r="L34" s="16">
        <v>1</v>
      </c>
      <c r="M34" s="16">
        <v>4500</v>
      </c>
      <c r="N34" s="16" t="s">
        <v>229</v>
      </c>
    </row>
    <row r="35" spans="6:14" x14ac:dyDescent="0.3">
      <c r="F35" s="28">
        <v>45686</v>
      </c>
      <c r="G35" s="16" t="s">
        <v>133</v>
      </c>
      <c r="H35" s="16" t="s">
        <v>32</v>
      </c>
      <c r="I35" s="16" t="s">
        <v>159</v>
      </c>
      <c r="J35" s="16" t="s">
        <v>192</v>
      </c>
      <c r="K35" s="16">
        <v>4500</v>
      </c>
      <c r="L35" s="16">
        <v>2</v>
      </c>
      <c r="M35" s="16">
        <v>9000</v>
      </c>
      <c r="N35" s="16" t="s">
        <v>247</v>
      </c>
    </row>
    <row r="36" spans="6:14" x14ac:dyDescent="0.3">
      <c r="F36" s="28">
        <v>45686</v>
      </c>
      <c r="G36" s="16" t="s">
        <v>134</v>
      </c>
      <c r="H36" s="16" t="s">
        <v>54</v>
      </c>
      <c r="I36" s="16" t="s">
        <v>178</v>
      </c>
      <c r="J36" s="16" t="s">
        <v>192</v>
      </c>
      <c r="K36" s="16">
        <v>1000</v>
      </c>
      <c r="L36" s="16">
        <v>1</v>
      </c>
      <c r="M36" s="16">
        <v>1000</v>
      </c>
      <c r="N36" s="16" t="s">
        <v>247</v>
      </c>
    </row>
    <row r="37" spans="6:14" x14ac:dyDescent="0.3">
      <c r="F37" s="28">
        <v>45686</v>
      </c>
      <c r="G37" s="16" t="s">
        <v>134</v>
      </c>
      <c r="H37" s="16" t="s">
        <v>55</v>
      </c>
      <c r="I37" s="16" t="s">
        <v>179</v>
      </c>
      <c r="J37" s="16" t="s">
        <v>192</v>
      </c>
      <c r="K37" s="16">
        <v>2000</v>
      </c>
      <c r="L37" s="16">
        <v>1</v>
      </c>
      <c r="M37" s="16">
        <v>2000</v>
      </c>
      <c r="N37" s="16" t="s">
        <v>247</v>
      </c>
    </row>
    <row r="38" spans="6:14" x14ac:dyDescent="0.3">
      <c r="F38" s="28">
        <v>45686</v>
      </c>
      <c r="G38" s="16" t="s">
        <v>10</v>
      </c>
      <c r="H38" s="16" t="s">
        <v>16</v>
      </c>
      <c r="I38" s="16" t="s">
        <v>146</v>
      </c>
      <c r="J38" s="16" t="s">
        <v>192</v>
      </c>
      <c r="K38" s="16">
        <v>3500</v>
      </c>
      <c r="L38" s="16">
        <v>1</v>
      </c>
      <c r="M38" s="16">
        <v>3500</v>
      </c>
      <c r="N38" s="16" t="s">
        <v>247</v>
      </c>
    </row>
    <row r="39" spans="6:14" x14ac:dyDescent="0.3">
      <c r="F39" s="28">
        <v>45686</v>
      </c>
      <c r="G39" s="16" t="s">
        <v>10</v>
      </c>
      <c r="H39" s="16" t="s">
        <v>12</v>
      </c>
      <c r="I39" s="16" t="s">
        <v>142</v>
      </c>
      <c r="J39" s="16" t="s">
        <v>210</v>
      </c>
      <c r="K39" s="16">
        <v>4000</v>
      </c>
      <c r="L39" s="16">
        <v>1</v>
      </c>
      <c r="M39" s="16">
        <v>4000</v>
      </c>
      <c r="N39" s="16" t="s">
        <v>229</v>
      </c>
    </row>
    <row r="40" spans="6:14" x14ac:dyDescent="0.3">
      <c r="F40" s="28">
        <v>45685</v>
      </c>
      <c r="G40" s="16" t="s">
        <v>10</v>
      </c>
      <c r="H40" s="16" t="s">
        <v>16</v>
      </c>
      <c r="I40" s="16" t="s">
        <v>146</v>
      </c>
      <c r="J40" s="16" t="s">
        <v>207</v>
      </c>
      <c r="K40" s="16">
        <v>3500</v>
      </c>
      <c r="L40" s="16">
        <v>1</v>
      </c>
      <c r="M40" s="16">
        <v>3500</v>
      </c>
      <c r="N40" s="16" t="s">
        <v>229</v>
      </c>
    </row>
    <row r="41" spans="6:14" x14ac:dyDescent="0.3">
      <c r="F41" s="28">
        <v>45685</v>
      </c>
      <c r="G41" s="16" t="s">
        <v>10</v>
      </c>
      <c r="H41" s="16" t="s">
        <v>16</v>
      </c>
      <c r="I41" s="16" t="s">
        <v>146</v>
      </c>
      <c r="J41" s="16" t="s">
        <v>206</v>
      </c>
      <c r="K41" s="16">
        <v>3500</v>
      </c>
      <c r="L41" s="16">
        <v>1</v>
      </c>
      <c r="M41" s="16">
        <v>3500</v>
      </c>
      <c r="N41" s="16" t="s">
        <v>229</v>
      </c>
    </row>
    <row r="42" spans="6:14" x14ac:dyDescent="0.3">
      <c r="F42" s="28">
        <v>45685</v>
      </c>
      <c r="G42" s="16" t="s">
        <v>10</v>
      </c>
      <c r="H42" s="16" t="s">
        <v>15</v>
      </c>
      <c r="I42" s="16" t="s">
        <v>145</v>
      </c>
      <c r="J42" s="16" t="s">
        <v>206</v>
      </c>
      <c r="K42" s="16">
        <v>11000</v>
      </c>
      <c r="L42" s="16">
        <v>1</v>
      </c>
      <c r="M42" s="16">
        <v>11000</v>
      </c>
      <c r="N42" s="16" t="s">
        <v>229</v>
      </c>
    </row>
    <row r="43" spans="6:14" x14ac:dyDescent="0.3">
      <c r="F43" s="28">
        <v>45685</v>
      </c>
      <c r="G43" s="16" t="s">
        <v>133</v>
      </c>
      <c r="H43" s="16" t="s">
        <v>35</v>
      </c>
      <c r="I43" s="16" t="s">
        <v>162</v>
      </c>
      <c r="J43" s="16" t="s">
        <v>206</v>
      </c>
      <c r="K43" s="16">
        <v>500</v>
      </c>
      <c r="L43" s="16">
        <v>1</v>
      </c>
      <c r="M43" s="16">
        <v>500</v>
      </c>
      <c r="N43" s="16" t="s">
        <v>229</v>
      </c>
    </row>
    <row r="44" spans="6:14" x14ac:dyDescent="0.3">
      <c r="F44" s="28">
        <v>45685</v>
      </c>
      <c r="G44" s="16" t="s">
        <v>134</v>
      </c>
      <c r="H44" s="16" t="s">
        <v>52</v>
      </c>
      <c r="I44" s="16" t="s">
        <v>177</v>
      </c>
      <c r="J44" s="16" t="s">
        <v>206</v>
      </c>
      <c r="K44" s="16">
        <v>1000</v>
      </c>
      <c r="L44" s="16">
        <v>2</v>
      </c>
      <c r="M44" s="16">
        <v>2000</v>
      </c>
      <c r="N44" s="16" t="s">
        <v>229</v>
      </c>
    </row>
    <row r="45" spans="6:14" x14ac:dyDescent="0.3">
      <c r="F45" s="28">
        <v>45685</v>
      </c>
      <c r="G45" s="16" t="s">
        <v>134</v>
      </c>
      <c r="H45" s="16" t="s">
        <v>56</v>
      </c>
      <c r="I45" s="16" t="s">
        <v>180</v>
      </c>
      <c r="J45" s="16" t="s">
        <v>206</v>
      </c>
      <c r="K45" s="16">
        <v>3500</v>
      </c>
      <c r="L45" s="16">
        <v>2</v>
      </c>
      <c r="M45" s="16">
        <v>7000</v>
      </c>
      <c r="N45" s="16" t="s">
        <v>229</v>
      </c>
    </row>
    <row r="46" spans="6:14" x14ac:dyDescent="0.3">
      <c r="F46" s="28">
        <v>45685</v>
      </c>
      <c r="G46" s="16" t="s">
        <v>4</v>
      </c>
      <c r="H46" s="16" t="s">
        <v>8</v>
      </c>
      <c r="I46" s="16" t="s">
        <v>139</v>
      </c>
      <c r="J46" s="16" t="s">
        <v>206</v>
      </c>
      <c r="K46" s="16">
        <v>5500</v>
      </c>
      <c r="L46" s="16">
        <v>1</v>
      </c>
      <c r="M46" s="16">
        <v>5500</v>
      </c>
      <c r="N46" s="16" t="s">
        <v>229</v>
      </c>
    </row>
    <row r="47" spans="6:14" x14ac:dyDescent="0.3">
      <c r="F47" s="28">
        <v>45684</v>
      </c>
      <c r="G47" s="16" t="s">
        <v>4</v>
      </c>
      <c r="H47" s="16" t="s">
        <v>7</v>
      </c>
      <c r="I47" s="16" t="s">
        <v>138</v>
      </c>
      <c r="J47" s="16" t="s">
        <v>202</v>
      </c>
      <c r="K47" s="16">
        <v>5500</v>
      </c>
      <c r="L47" s="16">
        <v>1</v>
      </c>
      <c r="M47" s="16">
        <v>5500</v>
      </c>
      <c r="N47" s="16" t="s">
        <v>230</v>
      </c>
    </row>
    <row r="48" spans="6:14" x14ac:dyDescent="0.3">
      <c r="F48" s="28">
        <v>45684</v>
      </c>
      <c r="G48" s="16" t="s">
        <v>10</v>
      </c>
      <c r="H48" s="16" t="s">
        <v>14</v>
      </c>
      <c r="I48" s="16" t="s">
        <v>144</v>
      </c>
      <c r="J48" s="16" t="s">
        <v>202</v>
      </c>
      <c r="K48" s="16">
        <v>15000</v>
      </c>
      <c r="L48" s="16">
        <v>1</v>
      </c>
      <c r="M48" s="16">
        <v>15000</v>
      </c>
      <c r="N48" s="16" t="s">
        <v>230</v>
      </c>
    </row>
    <row r="49" spans="6:14" x14ac:dyDescent="0.3">
      <c r="F49" s="28">
        <v>45684</v>
      </c>
      <c r="G49" s="16" t="s">
        <v>134</v>
      </c>
      <c r="H49" s="16" t="s">
        <v>56</v>
      </c>
      <c r="I49" s="16" t="s">
        <v>180</v>
      </c>
      <c r="J49" s="16" t="s">
        <v>202</v>
      </c>
      <c r="K49" s="16">
        <v>3500</v>
      </c>
      <c r="L49" s="16">
        <v>1</v>
      </c>
      <c r="M49" s="16">
        <v>3500</v>
      </c>
      <c r="N49" s="16" t="s">
        <v>230</v>
      </c>
    </row>
    <row r="50" spans="6:14" x14ac:dyDescent="0.3">
      <c r="F50" s="28">
        <v>45682</v>
      </c>
      <c r="G50" s="16" t="s">
        <v>47</v>
      </c>
      <c r="H50" s="16" t="s">
        <v>46</v>
      </c>
      <c r="I50" s="16" t="s">
        <v>172</v>
      </c>
      <c r="J50" s="16" t="s">
        <v>199</v>
      </c>
      <c r="K50" s="16">
        <v>5000</v>
      </c>
      <c r="L50" s="16">
        <v>1</v>
      </c>
      <c r="M50" s="16">
        <v>5000</v>
      </c>
      <c r="N50" s="16" t="s">
        <v>248</v>
      </c>
    </row>
    <row r="51" spans="6:14" x14ac:dyDescent="0.3">
      <c r="F51" s="28">
        <v>45682</v>
      </c>
      <c r="G51" s="16" t="s">
        <v>4</v>
      </c>
      <c r="H51" s="16" t="s">
        <v>7</v>
      </c>
      <c r="I51" s="16" t="s">
        <v>138</v>
      </c>
      <c r="J51" s="16" t="s">
        <v>193</v>
      </c>
      <c r="K51" s="16">
        <v>5500</v>
      </c>
      <c r="L51" s="16">
        <v>1</v>
      </c>
      <c r="M51" s="16">
        <v>5500</v>
      </c>
      <c r="N51" s="16" t="s">
        <v>230</v>
      </c>
    </row>
    <row r="52" spans="6:14" x14ac:dyDescent="0.3">
      <c r="F52" s="28">
        <v>45682</v>
      </c>
      <c r="G52" s="16" t="s">
        <v>4</v>
      </c>
      <c r="H52" s="16" t="s">
        <v>7</v>
      </c>
      <c r="I52" s="16" t="s">
        <v>138</v>
      </c>
      <c r="J52" s="16" t="s">
        <v>192</v>
      </c>
      <c r="K52" s="16">
        <v>5500</v>
      </c>
      <c r="L52" s="16">
        <v>1</v>
      </c>
      <c r="M52" s="16">
        <v>5500</v>
      </c>
      <c r="N52" s="16" t="s">
        <v>229</v>
      </c>
    </row>
    <row r="53" spans="6:14" x14ac:dyDescent="0.3">
      <c r="F53" s="28">
        <v>45682</v>
      </c>
      <c r="G53" s="16" t="s">
        <v>44</v>
      </c>
      <c r="H53" s="16" t="s">
        <v>45</v>
      </c>
      <c r="I53" s="16" t="s">
        <v>171</v>
      </c>
      <c r="J53" s="16" t="s">
        <v>192</v>
      </c>
      <c r="K53" s="16">
        <v>1500</v>
      </c>
      <c r="L53" s="16">
        <v>1</v>
      </c>
      <c r="M53" s="16">
        <v>1500</v>
      </c>
      <c r="N53" s="16" t="s">
        <v>229</v>
      </c>
    </row>
    <row r="54" spans="6:14" x14ac:dyDescent="0.3">
      <c r="F54" s="28">
        <v>45682</v>
      </c>
      <c r="G54" s="16" t="s">
        <v>47</v>
      </c>
      <c r="H54" s="16" t="s">
        <v>46</v>
      </c>
      <c r="I54" s="16" t="s">
        <v>172</v>
      </c>
      <c r="J54" s="16" t="s">
        <v>192</v>
      </c>
      <c r="K54" s="16">
        <v>5000</v>
      </c>
      <c r="L54" s="16">
        <v>1</v>
      </c>
      <c r="M54" s="16">
        <v>5000</v>
      </c>
      <c r="N54" s="16" t="s">
        <v>229</v>
      </c>
    </row>
    <row r="55" spans="6:14" x14ac:dyDescent="0.3">
      <c r="F55" s="28">
        <v>45682</v>
      </c>
      <c r="G55" s="16" t="s">
        <v>134</v>
      </c>
      <c r="H55" s="16" t="s">
        <v>56</v>
      </c>
      <c r="I55" s="16" t="s">
        <v>180</v>
      </c>
      <c r="J55" s="16" t="s">
        <v>192</v>
      </c>
      <c r="K55" s="16">
        <v>3500</v>
      </c>
      <c r="L55" s="16">
        <v>1</v>
      </c>
      <c r="M55" s="16">
        <v>3500</v>
      </c>
      <c r="N55" s="16" t="s">
        <v>229</v>
      </c>
    </row>
    <row r="56" spans="6:14" x14ac:dyDescent="0.3">
      <c r="F56" s="28">
        <v>45681</v>
      </c>
      <c r="G56" s="16" t="s">
        <v>134</v>
      </c>
      <c r="H56" s="16" t="s">
        <v>56</v>
      </c>
      <c r="I56" s="16" t="s">
        <v>180</v>
      </c>
      <c r="J56" s="16" t="s">
        <v>189</v>
      </c>
      <c r="K56" s="16">
        <v>3500</v>
      </c>
      <c r="L56" s="16">
        <v>2</v>
      </c>
      <c r="M56" s="16">
        <v>7000</v>
      </c>
      <c r="N56" s="16" t="s">
        <v>229</v>
      </c>
    </row>
    <row r="57" spans="6:14" x14ac:dyDescent="0.3">
      <c r="F57" s="28">
        <v>45681</v>
      </c>
      <c r="G57" s="16" t="s">
        <v>19</v>
      </c>
      <c r="H57" s="16" t="s">
        <v>20</v>
      </c>
      <c r="I57" s="16" t="s">
        <v>149</v>
      </c>
      <c r="J57" s="16" t="s">
        <v>189</v>
      </c>
      <c r="K57" s="16">
        <v>9000</v>
      </c>
      <c r="L57" s="16">
        <v>1</v>
      </c>
      <c r="M57" s="16">
        <v>9000</v>
      </c>
      <c r="N57" s="16" t="s">
        <v>229</v>
      </c>
    </row>
    <row r="58" spans="6:14" x14ac:dyDescent="0.3">
      <c r="F58" s="28">
        <v>45681</v>
      </c>
      <c r="G58" s="16" t="s">
        <v>10</v>
      </c>
      <c r="H58" s="16" t="s">
        <v>9</v>
      </c>
      <c r="I58" s="16" t="s">
        <v>140</v>
      </c>
      <c r="J58" s="16" t="s">
        <v>182</v>
      </c>
      <c r="K58" s="16">
        <v>3500</v>
      </c>
      <c r="L58" s="16">
        <v>1</v>
      </c>
      <c r="M58" s="16">
        <v>3500</v>
      </c>
      <c r="N58" s="16" t="s">
        <v>229</v>
      </c>
    </row>
    <row r="59" spans="6:14" x14ac:dyDescent="0.3">
      <c r="F59" s="28">
        <v>45681</v>
      </c>
      <c r="G59" s="16" t="s">
        <v>132</v>
      </c>
      <c r="H59" s="16" t="s">
        <v>23</v>
      </c>
      <c r="I59" s="16" t="s">
        <v>152</v>
      </c>
      <c r="J59" s="16" t="s">
        <v>182</v>
      </c>
      <c r="K59" s="16">
        <v>8500</v>
      </c>
      <c r="L59" s="16">
        <v>1</v>
      </c>
      <c r="M59" s="16">
        <v>8500</v>
      </c>
      <c r="N59" s="16" t="s">
        <v>229</v>
      </c>
    </row>
    <row r="60" spans="6:14" x14ac:dyDescent="0.3">
      <c r="F60" s="28">
        <v>45680</v>
      </c>
      <c r="G60" s="16" t="s">
        <v>132</v>
      </c>
      <c r="H60" s="16" t="s">
        <v>23</v>
      </c>
      <c r="I60" s="16" t="s">
        <v>152</v>
      </c>
      <c r="J60" s="16" t="s">
        <v>121</v>
      </c>
      <c r="K60" s="16">
        <v>8500</v>
      </c>
      <c r="L60" s="16">
        <v>1</v>
      </c>
      <c r="M60" s="16">
        <v>8500</v>
      </c>
      <c r="N60" s="16" t="s">
        <v>229</v>
      </c>
    </row>
    <row r="61" spans="6:14" x14ac:dyDescent="0.3">
      <c r="F61" s="28">
        <v>45680</v>
      </c>
      <c r="G61" s="16" t="s">
        <v>44</v>
      </c>
      <c r="H61" s="16" t="s">
        <v>45</v>
      </c>
      <c r="I61" s="16" t="s">
        <v>171</v>
      </c>
      <c r="J61" s="16" t="s">
        <v>121</v>
      </c>
      <c r="K61" s="16">
        <v>1500</v>
      </c>
      <c r="L61" s="16">
        <v>1</v>
      </c>
      <c r="M61" s="16">
        <v>1500</v>
      </c>
      <c r="N61" s="16" t="s">
        <v>229</v>
      </c>
    </row>
    <row r="62" spans="6:14" x14ac:dyDescent="0.3">
      <c r="F62" s="28">
        <v>45680</v>
      </c>
      <c r="G62" s="16" t="s">
        <v>10</v>
      </c>
      <c r="H62" s="16" t="s">
        <v>13</v>
      </c>
      <c r="I62" s="16" t="s">
        <v>143</v>
      </c>
      <c r="J62" s="16" t="s">
        <v>121</v>
      </c>
      <c r="K62" s="16">
        <v>6500</v>
      </c>
      <c r="L62" s="16">
        <v>1</v>
      </c>
      <c r="M62" s="16">
        <v>6500</v>
      </c>
      <c r="N62" s="16" t="s">
        <v>229</v>
      </c>
    </row>
    <row r="63" spans="6:14" x14ac:dyDescent="0.3">
      <c r="F63" s="28">
        <v>45680</v>
      </c>
      <c r="G63" s="16" t="s">
        <v>10</v>
      </c>
      <c r="H63" s="16" t="s">
        <v>13</v>
      </c>
      <c r="I63" s="16" t="s">
        <v>143</v>
      </c>
      <c r="J63" s="16" t="s">
        <v>192</v>
      </c>
      <c r="K63" s="16">
        <v>6500</v>
      </c>
      <c r="L63" s="16">
        <v>1</v>
      </c>
      <c r="M63" s="16">
        <v>6500</v>
      </c>
      <c r="N63" s="16" t="s">
        <v>230</v>
      </c>
    </row>
    <row r="64" spans="6:14" x14ac:dyDescent="0.3">
      <c r="F64" s="28">
        <v>45680</v>
      </c>
      <c r="G64" s="16" t="s">
        <v>44</v>
      </c>
      <c r="H64" s="16" t="s">
        <v>43</v>
      </c>
      <c r="I64" s="16" t="s">
        <v>170</v>
      </c>
      <c r="J64" s="16" t="s">
        <v>192</v>
      </c>
      <c r="K64" s="16">
        <v>2500</v>
      </c>
      <c r="L64" s="16">
        <v>1</v>
      </c>
      <c r="M64" s="16">
        <v>2500</v>
      </c>
      <c r="N64" s="16" t="s">
        <v>230</v>
      </c>
    </row>
    <row r="65" spans="6:14" x14ac:dyDescent="0.3">
      <c r="F65" s="28">
        <v>45680</v>
      </c>
      <c r="G65" s="16" t="s">
        <v>134</v>
      </c>
      <c r="H65" s="16" t="s">
        <v>56</v>
      </c>
      <c r="I65" s="16" t="s">
        <v>180</v>
      </c>
      <c r="J65" s="16" t="s">
        <v>192</v>
      </c>
      <c r="K65" s="16">
        <v>3500</v>
      </c>
      <c r="L65" s="16">
        <v>1</v>
      </c>
      <c r="M65" s="16">
        <v>3500</v>
      </c>
      <c r="N65" s="16" t="s">
        <v>230</v>
      </c>
    </row>
    <row r="66" spans="6:14" x14ac:dyDescent="0.3">
      <c r="F66" s="28">
        <v>45680</v>
      </c>
      <c r="G66" s="16" t="s">
        <v>4</v>
      </c>
      <c r="H66" s="16" t="s">
        <v>6</v>
      </c>
      <c r="I66" s="16" t="s">
        <v>137</v>
      </c>
      <c r="J66" s="16" t="s">
        <v>192</v>
      </c>
      <c r="K66" s="16">
        <v>5000</v>
      </c>
      <c r="L66" s="16">
        <v>1</v>
      </c>
      <c r="M66" s="16">
        <v>5000</v>
      </c>
      <c r="N66" s="16" t="s">
        <v>230</v>
      </c>
    </row>
    <row r="67" spans="6:14" x14ac:dyDescent="0.3">
      <c r="F67" s="28">
        <v>45680</v>
      </c>
      <c r="G67" s="16" t="s">
        <v>133</v>
      </c>
      <c r="H67" s="16" t="s">
        <v>35</v>
      </c>
      <c r="I67" s="16" t="s">
        <v>162</v>
      </c>
      <c r="J67" s="16" t="s">
        <v>192</v>
      </c>
      <c r="K67" s="16">
        <v>500</v>
      </c>
      <c r="L67" s="16">
        <v>3</v>
      </c>
      <c r="M67" s="16">
        <v>1500</v>
      </c>
      <c r="N67" s="16" t="s">
        <v>230</v>
      </c>
    </row>
    <row r="68" spans="6:14" x14ac:dyDescent="0.3">
      <c r="F68" s="28">
        <v>45679</v>
      </c>
      <c r="G68" s="16" t="s">
        <v>133</v>
      </c>
      <c r="H68" s="16" t="s">
        <v>35</v>
      </c>
      <c r="I68" s="16" t="s">
        <v>162</v>
      </c>
      <c r="J68" s="16" t="s">
        <v>203</v>
      </c>
      <c r="K68" s="16">
        <v>500</v>
      </c>
      <c r="L68" s="16">
        <v>3</v>
      </c>
      <c r="M68" s="16">
        <v>1500</v>
      </c>
      <c r="N68" s="16" t="s">
        <v>229</v>
      </c>
    </row>
    <row r="69" spans="6:14" x14ac:dyDescent="0.3">
      <c r="F69" s="28">
        <v>45679</v>
      </c>
      <c r="G69" s="16" t="s">
        <v>133</v>
      </c>
      <c r="H69" s="16" t="s">
        <v>32</v>
      </c>
      <c r="I69" s="16" t="s">
        <v>159</v>
      </c>
      <c r="J69" s="16" t="s">
        <v>203</v>
      </c>
      <c r="K69" s="16">
        <v>4500</v>
      </c>
      <c r="L69" s="16">
        <v>1</v>
      </c>
      <c r="M69" s="16">
        <v>4500</v>
      </c>
      <c r="N69" s="16" t="s">
        <v>229</v>
      </c>
    </row>
    <row r="70" spans="6:14" x14ac:dyDescent="0.3">
      <c r="F70" s="28">
        <v>45679</v>
      </c>
      <c r="G70" s="16" t="s">
        <v>133</v>
      </c>
      <c r="H70" s="16" t="s">
        <v>41</v>
      </c>
      <c r="I70" s="16" t="s">
        <v>168</v>
      </c>
      <c r="J70" s="16" t="s">
        <v>203</v>
      </c>
      <c r="K70" s="16">
        <v>5000</v>
      </c>
      <c r="L70" s="16">
        <v>1</v>
      </c>
      <c r="M70" s="16">
        <v>5000</v>
      </c>
      <c r="N70" s="16" t="s">
        <v>229</v>
      </c>
    </row>
    <row r="71" spans="6:14" x14ac:dyDescent="0.3">
      <c r="F71" s="28">
        <v>45679</v>
      </c>
      <c r="G71" s="16" t="s">
        <v>134</v>
      </c>
      <c r="H71" s="16" t="s">
        <v>56</v>
      </c>
      <c r="I71" s="16" t="s">
        <v>180</v>
      </c>
      <c r="J71" s="16" t="s">
        <v>203</v>
      </c>
      <c r="K71" s="16">
        <v>3500</v>
      </c>
      <c r="L71" s="16">
        <v>1</v>
      </c>
      <c r="M71" s="16">
        <v>3500</v>
      </c>
      <c r="N71" s="16" t="s">
        <v>229</v>
      </c>
    </row>
    <row r="72" spans="6:14" x14ac:dyDescent="0.3">
      <c r="F72" s="28">
        <v>45679</v>
      </c>
      <c r="G72" s="16" t="s">
        <v>134</v>
      </c>
      <c r="H72" s="16" t="s">
        <v>56</v>
      </c>
      <c r="I72" s="16" t="s">
        <v>180</v>
      </c>
      <c r="J72" s="16" t="s">
        <v>196</v>
      </c>
      <c r="K72" s="16">
        <v>3500</v>
      </c>
      <c r="L72" s="16">
        <v>1</v>
      </c>
      <c r="M72" s="16">
        <v>3500</v>
      </c>
      <c r="N72" s="16" t="s">
        <v>229</v>
      </c>
    </row>
    <row r="73" spans="6:14" x14ac:dyDescent="0.3">
      <c r="F73" s="28">
        <v>45679</v>
      </c>
      <c r="G73" s="16" t="s">
        <v>133</v>
      </c>
      <c r="H73" s="16" t="s">
        <v>34</v>
      </c>
      <c r="I73" s="16" t="s">
        <v>161</v>
      </c>
      <c r="J73" s="16" t="s">
        <v>196</v>
      </c>
      <c r="K73" s="16">
        <v>6500</v>
      </c>
      <c r="L73" s="16">
        <v>1</v>
      </c>
      <c r="M73" s="16">
        <v>6500</v>
      </c>
      <c r="N73" s="16" t="s">
        <v>229</v>
      </c>
    </row>
    <row r="74" spans="6:14" x14ac:dyDescent="0.3">
      <c r="F74" s="28">
        <v>45679</v>
      </c>
      <c r="G74" s="16" t="s">
        <v>10</v>
      </c>
      <c r="H74" s="16" t="s">
        <v>9</v>
      </c>
      <c r="I74" s="16" t="s">
        <v>140</v>
      </c>
      <c r="J74" s="16" t="s">
        <v>181</v>
      </c>
      <c r="K74" s="16">
        <v>3500</v>
      </c>
      <c r="L74" s="16">
        <v>1</v>
      </c>
      <c r="M74" s="16">
        <v>3500</v>
      </c>
      <c r="N74" s="16" t="s">
        <v>229</v>
      </c>
    </row>
    <row r="75" spans="6:14" x14ac:dyDescent="0.3">
      <c r="F75" s="28">
        <v>45679</v>
      </c>
      <c r="G75" s="16" t="s">
        <v>10</v>
      </c>
      <c r="H75" s="16" t="s">
        <v>9</v>
      </c>
      <c r="I75" s="16" t="s">
        <v>140</v>
      </c>
      <c r="J75" s="16" t="s">
        <v>121</v>
      </c>
      <c r="K75" s="16">
        <v>3500</v>
      </c>
      <c r="L75" s="16">
        <v>1</v>
      </c>
      <c r="M75" s="16">
        <v>3500</v>
      </c>
      <c r="N75" s="16" t="s">
        <v>229</v>
      </c>
    </row>
    <row r="76" spans="6:14" x14ac:dyDescent="0.3">
      <c r="F76" s="28">
        <v>45679</v>
      </c>
      <c r="G76" s="16" t="s">
        <v>133</v>
      </c>
      <c r="H76" s="16" t="s">
        <v>32</v>
      </c>
      <c r="I76" s="16" t="s">
        <v>159</v>
      </c>
      <c r="J76" s="16" t="s">
        <v>121</v>
      </c>
      <c r="K76" s="16">
        <v>4500</v>
      </c>
      <c r="L76" s="16">
        <v>1</v>
      </c>
      <c r="M76" s="16">
        <v>4500</v>
      </c>
      <c r="N76" s="16" t="s">
        <v>229</v>
      </c>
    </row>
    <row r="77" spans="6:14" x14ac:dyDescent="0.3">
      <c r="F77" s="28">
        <v>45679</v>
      </c>
      <c r="G77" s="16" t="s">
        <v>133</v>
      </c>
      <c r="H77" s="16" t="s">
        <v>32</v>
      </c>
      <c r="I77" s="16" t="s">
        <v>159</v>
      </c>
      <c r="J77" s="16" t="s">
        <v>118</v>
      </c>
      <c r="K77" s="16">
        <v>4500</v>
      </c>
      <c r="L77" s="16">
        <v>1</v>
      </c>
      <c r="M77" s="16">
        <v>4500</v>
      </c>
      <c r="N77" s="16" t="s">
        <v>230</v>
      </c>
    </row>
    <row r="78" spans="6:14" x14ac:dyDescent="0.3">
      <c r="F78" s="28">
        <v>45679</v>
      </c>
      <c r="G78" s="16" t="s">
        <v>10</v>
      </c>
      <c r="H78" s="16" t="s">
        <v>15</v>
      </c>
      <c r="I78" s="16" t="s">
        <v>145</v>
      </c>
      <c r="J78" s="16" t="s">
        <v>118</v>
      </c>
      <c r="K78" s="16">
        <v>11000</v>
      </c>
      <c r="L78" s="16">
        <v>1</v>
      </c>
      <c r="M78" s="16">
        <v>11000</v>
      </c>
      <c r="N78" s="16" t="s">
        <v>230</v>
      </c>
    </row>
    <row r="79" spans="6:14" x14ac:dyDescent="0.3">
      <c r="F79" s="28">
        <v>45679</v>
      </c>
      <c r="G79" s="16" t="s">
        <v>47</v>
      </c>
      <c r="H79" s="16" t="s">
        <v>51</v>
      </c>
      <c r="I79" s="16" t="s">
        <v>176</v>
      </c>
      <c r="J79" s="16" t="s">
        <v>118</v>
      </c>
      <c r="K79" s="16">
        <v>5000</v>
      </c>
      <c r="L79" s="16">
        <v>1</v>
      </c>
      <c r="M79" s="16">
        <v>5000</v>
      </c>
      <c r="N79" s="16" t="s">
        <v>230</v>
      </c>
    </row>
    <row r="80" spans="6:14" x14ac:dyDescent="0.3">
      <c r="F80" s="28">
        <v>45678</v>
      </c>
      <c r="G80" s="16" t="s">
        <v>47</v>
      </c>
      <c r="H80" s="16" t="s">
        <v>51</v>
      </c>
      <c r="I80" s="16" t="s">
        <v>176</v>
      </c>
      <c r="J80" s="16" t="s">
        <v>186</v>
      </c>
      <c r="K80" s="16">
        <v>5000</v>
      </c>
      <c r="L80" s="16">
        <v>1</v>
      </c>
      <c r="M80" s="16">
        <v>5000</v>
      </c>
      <c r="N80" s="16" t="s">
        <v>247</v>
      </c>
    </row>
    <row r="81" spans="6:14" x14ac:dyDescent="0.3">
      <c r="F81" s="28">
        <v>45678</v>
      </c>
      <c r="G81" s="16" t="s">
        <v>133</v>
      </c>
      <c r="H81" s="16" t="s">
        <v>30</v>
      </c>
      <c r="I81" s="16" t="s">
        <v>157</v>
      </c>
      <c r="J81" s="16" t="s">
        <v>186</v>
      </c>
      <c r="K81" s="16">
        <v>4500</v>
      </c>
      <c r="L81" s="16">
        <v>1</v>
      </c>
      <c r="M81" s="16">
        <v>4500</v>
      </c>
      <c r="N81" s="16" t="s">
        <v>247</v>
      </c>
    </row>
    <row r="82" spans="6:14" x14ac:dyDescent="0.3">
      <c r="F82" s="28">
        <v>45678</v>
      </c>
      <c r="G82" s="16" t="s">
        <v>133</v>
      </c>
      <c r="H82" s="16" t="s">
        <v>27</v>
      </c>
      <c r="I82" s="16" t="s">
        <v>155</v>
      </c>
      <c r="J82" s="16" t="s">
        <v>186</v>
      </c>
      <c r="K82" s="16">
        <v>2500</v>
      </c>
      <c r="L82" s="16">
        <v>1</v>
      </c>
      <c r="M82" s="16">
        <v>2500</v>
      </c>
      <c r="N82" s="16" t="s">
        <v>247</v>
      </c>
    </row>
    <row r="83" spans="6:14" x14ac:dyDescent="0.3">
      <c r="F83" s="28">
        <v>45678</v>
      </c>
      <c r="G83" s="16" t="s">
        <v>133</v>
      </c>
      <c r="H83" s="16" t="s">
        <v>35</v>
      </c>
      <c r="I83" s="16" t="s">
        <v>162</v>
      </c>
      <c r="J83" s="16" t="s">
        <v>186</v>
      </c>
      <c r="K83" s="16">
        <v>500</v>
      </c>
      <c r="L83" s="16">
        <v>1</v>
      </c>
      <c r="M83" s="16">
        <v>500</v>
      </c>
      <c r="N83" s="16" t="s">
        <v>247</v>
      </c>
    </row>
    <row r="84" spans="6:14" x14ac:dyDescent="0.3">
      <c r="F84" s="28">
        <v>45678</v>
      </c>
      <c r="G84" s="16" t="s">
        <v>133</v>
      </c>
      <c r="H84" s="16" t="s">
        <v>34</v>
      </c>
      <c r="I84" s="16" t="s">
        <v>161</v>
      </c>
      <c r="J84" s="16" t="s">
        <v>186</v>
      </c>
      <c r="K84" s="16">
        <v>6500</v>
      </c>
      <c r="L84" s="16">
        <v>1</v>
      </c>
      <c r="M84" s="16">
        <v>6500</v>
      </c>
      <c r="N84" s="16" t="s">
        <v>247</v>
      </c>
    </row>
    <row r="85" spans="6:14" x14ac:dyDescent="0.3">
      <c r="F85" s="28">
        <v>45678</v>
      </c>
      <c r="G85" s="16" t="s">
        <v>134</v>
      </c>
      <c r="H85" s="16" t="s">
        <v>56</v>
      </c>
      <c r="I85" s="16" t="s">
        <v>180</v>
      </c>
      <c r="J85" s="16" t="s">
        <v>186</v>
      </c>
      <c r="K85" s="16">
        <v>3500</v>
      </c>
      <c r="L85" s="16">
        <v>1</v>
      </c>
      <c r="M85" s="16">
        <v>3500</v>
      </c>
      <c r="N85" s="16" t="s">
        <v>247</v>
      </c>
    </row>
    <row r="86" spans="6:14" x14ac:dyDescent="0.3">
      <c r="F86" s="28">
        <v>45678</v>
      </c>
      <c r="G86" s="16" t="s">
        <v>10</v>
      </c>
      <c r="H86" s="16" t="s">
        <v>11</v>
      </c>
      <c r="I86" s="16" t="s">
        <v>141</v>
      </c>
      <c r="J86" s="16" t="s">
        <v>186</v>
      </c>
      <c r="K86" s="16">
        <v>6000</v>
      </c>
      <c r="L86" s="16">
        <v>1</v>
      </c>
      <c r="M86" s="16">
        <v>6000</v>
      </c>
      <c r="N86" s="16" t="s">
        <v>229</v>
      </c>
    </row>
    <row r="87" spans="6:14" x14ac:dyDescent="0.3">
      <c r="F87" s="28">
        <v>45678</v>
      </c>
      <c r="G87" s="16" t="s">
        <v>10</v>
      </c>
      <c r="H87" s="16" t="s">
        <v>14</v>
      </c>
      <c r="I87" s="16" t="s">
        <v>144</v>
      </c>
      <c r="J87" s="16" t="s">
        <v>185</v>
      </c>
      <c r="K87" s="16">
        <v>15000</v>
      </c>
      <c r="L87" s="16">
        <v>1</v>
      </c>
      <c r="M87" s="16">
        <v>15000</v>
      </c>
      <c r="N87" s="16" t="s">
        <v>229</v>
      </c>
    </row>
    <row r="88" spans="6:14" x14ac:dyDescent="0.3">
      <c r="F88" s="28">
        <v>45678</v>
      </c>
      <c r="G88" s="16" t="s">
        <v>10</v>
      </c>
      <c r="H88" s="16" t="s">
        <v>16</v>
      </c>
      <c r="I88" s="16" t="s">
        <v>146</v>
      </c>
      <c r="J88" s="16" t="s">
        <v>185</v>
      </c>
      <c r="K88" s="16">
        <v>3500</v>
      </c>
      <c r="L88" s="16">
        <v>2</v>
      </c>
      <c r="M88" s="16">
        <v>7000</v>
      </c>
      <c r="N88" s="16" t="s">
        <v>229</v>
      </c>
    </row>
    <row r="89" spans="6:14" x14ac:dyDescent="0.3">
      <c r="F89" s="28">
        <v>45678</v>
      </c>
      <c r="G89" s="16" t="s">
        <v>10</v>
      </c>
      <c r="H89" s="16" t="s">
        <v>16</v>
      </c>
      <c r="I89" s="16" t="s">
        <v>146</v>
      </c>
      <c r="J89" s="16" t="s">
        <v>206</v>
      </c>
      <c r="K89" s="16">
        <v>3500</v>
      </c>
      <c r="L89" s="16">
        <v>1</v>
      </c>
      <c r="M89" s="16">
        <v>3500</v>
      </c>
      <c r="N89" s="16" t="s">
        <v>230</v>
      </c>
    </row>
    <row r="90" spans="6:14" x14ac:dyDescent="0.3">
      <c r="F90" s="28">
        <v>45678</v>
      </c>
      <c r="G90" s="16" t="s">
        <v>4</v>
      </c>
      <c r="H90" s="16" t="s">
        <v>6</v>
      </c>
      <c r="I90" s="16" t="s">
        <v>137</v>
      </c>
      <c r="J90" s="16" t="s">
        <v>206</v>
      </c>
      <c r="K90" s="16">
        <v>5000</v>
      </c>
      <c r="L90" s="16">
        <v>1</v>
      </c>
      <c r="M90" s="16">
        <v>5000</v>
      </c>
      <c r="N90" s="16" t="s">
        <v>230</v>
      </c>
    </row>
    <row r="91" spans="6:14" x14ac:dyDescent="0.3">
      <c r="F91" s="28">
        <v>45678</v>
      </c>
      <c r="G91" s="16" t="s">
        <v>134</v>
      </c>
      <c r="H91" s="16" t="s">
        <v>55</v>
      </c>
      <c r="I91" s="16" t="s">
        <v>179</v>
      </c>
      <c r="J91" s="16" t="s">
        <v>206</v>
      </c>
      <c r="K91" s="16">
        <v>2000</v>
      </c>
      <c r="L91" s="16">
        <v>1</v>
      </c>
      <c r="M91" s="16">
        <v>2000</v>
      </c>
      <c r="N91" s="16" t="s">
        <v>230</v>
      </c>
    </row>
    <row r="92" spans="6:14" x14ac:dyDescent="0.3">
      <c r="F92" s="28">
        <v>45677</v>
      </c>
      <c r="G92" s="16" t="s">
        <v>47</v>
      </c>
      <c r="H92" s="16" t="s">
        <v>48</v>
      </c>
      <c r="I92" s="16" t="s">
        <v>173</v>
      </c>
      <c r="J92" s="16" t="s">
        <v>199</v>
      </c>
      <c r="K92" s="16">
        <v>5000</v>
      </c>
      <c r="L92" s="16">
        <v>1</v>
      </c>
      <c r="M92" s="16">
        <v>5000</v>
      </c>
      <c r="N92" s="16" t="s">
        <v>229</v>
      </c>
    </row>
    <row r="93" spans="6:14" x14ac:dyDescent="0.3">
      <c r="F93" s="28">
        <v>45677</v>
      </c>
      <c r="G93" s="16" t="s">
        <v>44</v>
      </c>
      <c r="H93" s="16" t="s">
        <v>43</v>
      </c>
      <c r="I93" s="16" t="s">
        <v>170</v>
      </c>
      <c r="J93" s="16" t="s">
        <v>199</v>
      </c>
      <c r="K93" s="16">
        <v>2500</v>
      </c>
      <c r="L93" s="16">
        <v>1</v>
      </c>
      <c r="M93" s="16">
        <v>2500</v>
      </c>
      <c r="N93" s="16" t="s">
        <v>229</v>
      </c>
    </row>
    <row r="94" spans="6:14" x14ac:dyDescent="0.3">
      <c r="F94" s="28">
        <v>45677</v>
      </c>
      <c r="G94" s="16" t="s">
        <v>132</v>
      </c>
      <c r="H94" s="16" t="s">
        <v>23</v>
      </c>
      <c r="I94" s="16" t="s">
        <v>152</v>
      </c>
      <c r="J94" s="16" t="s">
        <v>199</v>
      </c>
      <c r="K94" s="16">
        <v>8500</v>
      </c>
      <c r="L94" s="16">
        <v>1</v>
      </c>
      <c r="M94" s="16">
        <v>8500</v>
      </c>
      <c r="N94" s="16" t="s">
        <v>229</v>
      </c>
    </row>
    <row r="95" spans="6:14" x14ac:dyDescent="0.3">
      <c r="F95" s="28">
        <v>45677</v>
      </c>
      <c r="G95" s="16" t="s">
        <v>10</v>
      </c>
      <c r="H95" s="16" t="s">
        <v>16</v>
      </c>
      <c r="I95" s="16" t="s">
        <v>146</v>
      </c>
      <c r="J95" s="16" t="s">
        <v>199</v>
      </c>
      <c r="K95" s="16">
        <v>3500</v>
      </c>
      <c r="L95" s="16">
        <v>1</v>
      </c>
      <c r="M95" s="16">
        <v>3500</v>
      </c>
      <c r="N95" s="16" t="s">
        <v>229</v>
      </c>
    </row>
    <row r="96" spans="6:14" x14ac:dyDescent="0.3">
      <c r="F96" s="28">
        <v>45677</v>
      </c>
      <c r="G96" s="16" t="s">
        <v>134</v>
      </c>
      <c r="H96" s="16" t="s">
        <v>56</v>
      </c>
      <c r="I96" s="16" t="s">
        <v>180</v>
      </c>
      <c r="J96" s="16" t="s">
        <v>199</v>
      </c>
      <c r="K96" s="16">
        <v>3500</v>
      </c>
      <c r="L96" s="16">
        <v>1</v>
      </c>
      <c r="M96" s="16">
        <v>3500</v>
      </c>
      <c r="N96" s="16" t="s">
        <v>229</v>
      </c>
    </row>
    <row r="97" spans="6:14" x14ac:dyDescent="0.3">
      <c r="F97" s="28">
        <v>45676</v>
      </c>
      <c r="G97" s="16" t="s">
        <v>134</v>
      </c>
      <c r="H97" s="16" t="s">
        <v>54</v>
      </c>
      <c r="I97" s="16" t="s">
        <v>178</v>
      </c>
      <c r="J97" s="16" t="s">
        <v>194</v>
      </c>
      <c r="K97" s="16">
        <v>1000</v>
      </c>
      <c r="L97" s="16">
        <v>1</v>
      </c>
      <c r="M97" s="16">
        <v>1000</v>
      </c>
      <c r="N97" s="16" t="s">
        <v>229</v>
      </c>
    </row>
    <row r="98" spans="6:14" x14ac:dyDescent="0.3">
      <c r="F98" s="28">
        <v>45676</v>
      </c>
      <c r="G98" s="16" t="s">
        <v>134</v>
      </c>
      <c r="H98" s="16" t="s">
        <v>56</v>
      </c>
      <c r="I98" s="16" t="s">
        <v>180</v>
      </c>
      <c r="J98" s="16" t="s">
        <v>194</v>
      </c>
      <c r="K98" s="16">
        <v>3500</v>
      </c>
      <c r="L98" s="16">
        <v>1</v>
      </c>
      <c r="M98" s="16">
        <v>3500</v>
      </c>
      <c r="N98" s="16" t="s">
        <v>229</v>
      </c>
    </row>
    <row r="99" spans="6:14" x14ac:dyDescent="0.3">
      <c r="F99" s="28">
        <v>45676</v>
      </c>
      <c r="G99" s="16" t="s">
        <v>133</v>
      </c>
      <c r="H99" s="16" t="s">
        <v>39</v>
      </c>
      <c r="I99" s="16" t="s">
        <v>166</v>
      </c>
      <c r="J99" s="16" t="s">
        <v>194</v>
      </c>
      <c r="K99" s="16">
        <v>5000</v>
      </c>
      <c r="L99" s="16">
        <v>1</v>
      </c>
      <c r="M99" s="16">
        <v>5000</v>
      </c>
      <c r="N99" s="16" t="s">
        <v>229</v>
      </c>
    </row>
    <row r="100" spans="6:14" x14ac:dyDescent="0.3">
      <c r="F100" s="28">
        <v>45676</v>
      </c>
      <c r="G100" s="16" t="s">
        <v>133</v>
      </c>
      <c r="H100" s="16" t="s">
        <v>32</v>
      </c>
      <c r="I100" s="16" t="s">
        <v>159</v>
      </c>
      <c r="J100" s="16" t="s">
        <v>194</v>
      </c>
      <c r="K100" s="16">
        <v>4500</v>
      </c>
      <c r="L100" s="16">
        <v>1</v>
      </c>
      <c r="M100" s="16">
        <v>4500</v>
      </c>
      <c r="N100" s="16" t="s">
        <v>229</v>
      </c>
    </row>
    <row r="101" spans="6:14" x14ac:dyDescent="0.3">
      <c r="F101" s="28">
        <v>45676</v>
      </c>
      <c r="G101" s="16" t="s">
        <v>47</v>
      </c>
      <c r="H101" s="16" t="s">
        <v>51</v>
      </c>
      <c r="I101" s="16" t="s">
        <v>176</v>
      </c>
      <c r="J101" s="16" t="s">
        <v>194</v>
      </c>
      <c r="K101" s="16">
        <v>5000</v>
      </c>
      <c r="L101" s="16">
        <v>1</v>
      </c>
      <c r="M101" s="16">
        <v>5000</v>
      </c>
      <c r="N101" s="16" t="s">
        <v>229</v>
      </c>
    </row>
    <row r="102" spans="6:14" x14ac:dyDescent="0.3">
      <c r="F102" s="28">
        <v>45676</v>
      </c>
      <c r="G102" s="16" t="s">
        <v>133</v>
      </c>
      <c r="H102" s="16" t="s">
        <v>34</v>
      </c>
      <c r="I102" s="16" t="s">
        <v>161</v>
      </c>
      <c r="J102" s="16" t="s">
        <v>194</v>
      </c>
      <c r="K102" s="16">
        <v>6500</v>
      </c>
      <c r="L102" s="16">
        <v>1</v>
      </c>
      <c r="M102" s="16">
        <v>6500</v>
      </c>
      <c r="N102" s="16" t="s">
        <v>229</v>
      </c>
    </row>
    <row r="103" spans="6:14" x14ac:dyDescent="0.3">
      <c r="F103" s="28">
        <v>45676</v>
      </c>
      <c r="G103" s="16" t="s">
        <v>132</v>
      </c>
      <c r="H103" s="16" t="s">
        <v>26</v>
      </c>
      <c r="I103" s="16" t="s">
        <v>154</v>
      </c>
      <c r="J103" s="16" t="s">
        <v>194</v>
      </c>
      <c r="K103" s="16">
        <v>7500</v>
      </c>
      <c r="L103" s="16">
        <v>1</v>
      </c>
      <c r="M103" s="16">
        <v>7500</v>
      </c>
      <c r="N103" s="16" t="s">
        <v>229</v>
      </c>
    </row>
    <row r="104" spans="6:14" x14ac:dyDescent="0.3">
      <c r="F104" s="28">
        <v>45676</v>
      </c>
      <c r="G104" s="16" t="s">
        <v>132</v>
      </c>
      <c r="H104" s="16" t="s">
        <v>25</v>
      </c>
      <c r="I104" s="16" t="s">
        <v>153</v>
      </c>
      <c r="J104" s="16" t="s">
        <v>187</v>
      </c>
      <c r="K104" s="16">
        <v>6000</v>
      </c>
      <c r="L104" s="16">
        <v>1</v>
      </c>
      <c r="M104" s="16">
        <v>6000</v>
      </c>
      <c r="N104" s="16" t="s">
        <v>229</v>
      </c>
    </row>
    <row r="105" spans="6:14" x14ac:dyDescent="0.3">
      <c r="F105" s="28">
        <v>45676</v>
      </c>
      <c r="G105" s="16" t="s">
        <v>4</v>
      </c>
      <c r="H105" s="16" t="s">
        <v>6</v>
      </c>
      <c r="I105" s="16" t="s">
        <v>137</v>
      </c>
      <c r="J105" s="16" t="s">
        <v>187</v>
      </c>
      <c r="K105" s="16">
        <v>5000</v>
      </c>
      <c r="L105" s="16">
        <v>1</v>
      </c>
      <c r="M105" s="16">
        <v>5000</v>
      </c>
      <c r="N105" s="16" t="s">
        <v>229</v>
      </c>
    </row>
    <row r="106" spans="6:14" x14ac:dyDescent="0.3">
      <c r="F106" s="28">
        <v>45675</v>
      </c>
      <c r="G106" s="16" t="s">
        <v>4</v>
      </c>
      <c r="H106" s="16" t="s">
        <v>6</v>
      </c>
      <c r="I106" s="16" t="s">
        <v>137</v>
      </c>
      <c r="J106" s="16" t="s">
        <v>202</v>
      </c>
      <c r="K106" s="16">
        <v>5000</v>
      </c>
      <c r="L106" s="16">
        <v>2</v>
      </c>
      <c r="M106" s="16">
        <v>10000</v>
      </c>
      <c r="N106" s="16" t="s">
        <v>229</v>
      </c>
    </row>
    <row r="107" spans="6:14" x14ac:dyDescent="0.3">
      <c r="F107" s="28">
        <v>45675</v>
      </c>
      <c r="G107" s="16" t="s">
        <v>133</v>
      </c>
      <c r="H107" s="16" t="s">
        <v>39</v>
      </c>
      <c r="I107" s="16" t="s">
        <v>166</v>
      </c>
      <c r="J107" s="16" t="s">
        <v>197</v>
      </c>
      <c r="K107" s="16">
        <v>5000</v>
      </c>
      <c r="L107" s="16">
        <v>1</v>
      </c>
      <c r="M107" s="16">
        <v>5000</v>
      </c>
      <c r="N107" s="16" t="s">
        <v>229</v>
      </c>
    </row>
    <row r="108" spans="6:14" x14ac:dyDescent="0.3">
      <c r="F108" s="28">
        <v>45675</v>
      </c>
      <c r="G108" s="16" t="s">
        <v>133</v>
      </c>
      <c r="H108" s="16" t="s">
        <v>27</v>
      </c>
      <c r="I108" s="16" t="s">
        <v>155</v>
      </c>
      <c r="J108" s="16" t="s">
        <v>197</v>
      </c>
      <c r="K108" s="16">
        <v>2500</v>
      </c>
      <c r="L108" s="16">
        <v>1</v>
      </c>
      <c r="M108" s="16">
        <v>2500</v>
      </c>
      <c r="N108" s="16" t="s">
        <v>229</v>
      </c>
    </row>
    <row r="109" spans="6:14" x14ac:dyDescent="0.3">
      <c r="F109" s="28">
        <v>45675</v>
      </c>
      <c r="G109" s="16" t="s">
        <v>133</v>
      </c>
      <c r="H109" s="16" t="s">
        <v>29</v>
      </c>
      <c r="I109" s="16" t="s">
        <v>156</v>
      </c>
      <c r="J109" s="16" t="s">
        <v>197</v>
      </c>
      <c r="K109" s="16">
        <v>5000</v>
      </c>
      <c r="L109" s="16">
        <v>1</v>
      </c>
      <c r="M109" s="16">
        <v>5000</v>
      </c>
      <c r="N109" s="16" t="s">
        <v>229</v>
      </c>
    </row>
    <row r="110" spans="6:14" x14ac:dyDescent="0.3">
      <c r="F110" s="28">
        <v>45675</v>
      </c>
      <c r="G110" s="16" t="s">
        <v>133</v>
      </c>
      <c r="H110" s="16" t="s">
        <v>34</v>
      </c>
      <c r="I110" s="16" t="s">
        <v>161</v>
      </c>
      <c r="J110" s="16" t="s">
        <v>197</v>
      </c>
      <c r="K110" s="16">
        <v>6500</v>
      </c>
      <c r="L110" s="16">
        <v>1</v>
      </c>
      <c r="M110" s="16">
        <v>6500</v>
      </c>
      <c r="N110" s="16" t="s">
        <v>229</v>
      </c>
    </row>
    <row r="111" spans="6:14" x14ac:dyDescent="0.3">
      <c r="F111" s="28">
        <v>45675</v>
      </c>
      <c r="G111" s="16" t="s">
        <v>133</v>
      </c>
      <c r="H111" s="16" t="s">
        <v>35</v>
      </c>
      <c r="I111" s="16" t="s">
        <v>162</v>
      </c>
      <c r="J111" s="16" t="s">
        <v>197</v>
      </c>
      <c r="K111" s="16">
        <v>500</v>
      </c>
      <c r="L111" s="16">
        <v>2</v>
      </c>
      <c r="M111" s="16">
        <v>1000</v>
      </c>
      <c r="N111" s="16" t="s">
        <v>229</v>
      </c>
    </row>
    <row r="112" spans="6:14" x14ac:dyDescent="0.3">
      <c r="F112" s="28">
        <v>45675</v>
      </c>
      <c r="G112" s="16" t="s">
        <v>133</v>
      </c>
      <c r="H112" s="16" t="s">
        <v>32</v>
      </c>
      <c r="I112" s="16" t="s">
        <v>159</v>
      </c>
      <c r="J112" s="16" t="s">
        <v>197</v>
      </c>
      <c r="K112" s="16">
        <v>4500</v>
      </c>
      <c r="L112" s="16">
        <v>1</v>
      </c>
      <c r="M112" s="16">
        <v>4500</v>
      </c>
      <c r="N112" s="16" t="s">
        <v>229</v>
      </c>
    </row>
    <row r="113" spans="6:14" x14ac:dyDescent="0.3">
      <c r="F113" s="28">
        <v>45675</v>
      </c>
      <c r="G113" s="16" t="s">
        <v>132</v>
      </c>
      <c r="H113" s="16" t="s">
        <v>25</v>
      </c>
      <c r="I113" s="16" t="s">
        <v>153</v>
      </c>
      <c r="J113" s="16" t="s">
        <v>197</v>
      </c>
      <c r="K113" s="16">
        <v>6000</v>
      </c>
      <c r="L113" s="16">
        <v>1</v>
      </c>
      <c r="M113" s="16">
        <v>6000</v>
      </c>
      <c r="N113" s="16" t="s">
        <v>229</v>
      </c>
    </row>
    <row r="114" spans="6:14" x14ac:dyDescent="0.3">
      <c r="F114" s="28">
        <v>45675</v>
      </c>
      <c r="G114" s="16" t="s">
        <v>10</v>
      </c>
      <c r="H114" s="16" t="s">
        <v>17</v>
      </c>
      <c r="I114" s="16" t="s">
        <v>147</v>
      </c>
      <c r="J114" s="16" t="s">
        <v>197</v>
      </c>
      <c r="K114" s="16">
        <v>4500</v>
      </c>
      <c r="L114" s="16">
        <v>1</v>
      </c>
      <c r="M114" s="16">
        <v>4500</v>
      </c>
      <c r="N114" s="16" t="s">
        <v>229</v>
      </c>
    </row>
    <row r="115" spans="6:14" x14ac:dyDescent="0.3">
      <c r="F115" s="28">
        <v>45675</v>
      </c>
      <c r="G115" s="16" t="s">
        <v>4</v>
      </c>
      <c r="H115" s="16" t="s">
        <v>3</v>
      </c>
      <c r="I115" s="16" t="s">
        <v>135</v>
      </c>
      <c r="J115" s="16" t="s">
        <v>197</v>
      </c>
      <c r="K115" s="16">
        <v>5500</v>
      </c>
      <c r="L115" s="16">
        <v>1</v>
      </c>
      <c r="M115" s="16">
        <v>5500</v>
      </c>
      <c r="N115" s="16" t="s">
        <v>229</v>
      </c>
    </row>
    <row r="116" spans="6:14" x14ac:dyDescent="0.3">
      <c r="F116" s="28">
        <v>45675</v>
      </c>
      <c r="G116" s="16" t="s">
        <v>134</v>
      </c>
      <c r="H116" s="16" t="s">
        <v>54</v>
      </c>
      <c r="I116" s="16" t="s">
        <v>178</v>
      </c>
      <c r="J116" s="16" t="s">
        <v>197</v>
      </c>
      <c r="K116" s="16">
        <v>1000</v>
      </c>
      <c r="L116" s="16">
        <v>1</v>
      </c>
      <c r="M116" s="16">
        <v>1000</v>
      </c>
      <c r="N116" s="16" t="s">
        <v>229</v>
      </c>
    </row>
    <row r="117" spans="6:14" x14ac:dyDescent="0.3">
      <c r="F117" s="28">
        <v>45675</v>
      </c>
      <c r="G117" s="16" t="s">
        <v>134</v>
      </c>
      <c r="H117" s="16" t="s">
        <v>56</v>
      </c>
      <c r="I117" s="16" t="s">
        <v>180</v>
      </c>
      <c r="J117" s="16" t="s">
        <v>197</v>
      </c>
      <c r="K117" s="16">
        <v>3500</v>
      </c>
      <c r="L117" s="16">
        <v>1</v>
      </c>
      <c r="M117" s="16">
        <v>3500</v>
      </c>
      <c r="N117" s="16" t="s">
        <v>229</v>
      </c>
    </row>
    <row r="118" spans="6:14" x14ac:dyDescent="0.3">
      <c r="F118" s="28">
        <v>45674</v>
      </c>
      <c r="G118" s="16" t="s">
        <v>133</v>
      </c>
      <c r="H118" s="16" t="s">
        <v>41</v>
      </c>
      <c r="I118" s="16" t="s">
        <v>168</v>
      </c>
      <c r="J118" s="16" t="s">
        <v>212</v>
      </c>
      <c r="K118" s="16">
        <v>5000</v>
      </c>
      <c r="L118" s="16">
        <v>1</v>
      </c>
      <c r="M118" s="16">
        <v>5000</v>
      </c>
      <c r="N118" s="16" t="s">
        <v>229</v>
      </c>
    </row>
    <row r="119" spans="6:14" x14ac:dyDescent="0.3">
      <c r="F119" s="28">
        <v>45673</v>
      </c>
      <c r="G119" s="16" t="s">
        <v>10</v>
      </c>
      <c r="H119" s="16" t="s">
        <v>15</v>
      </c>
      <c r="I119" s="16" t="s">
        <v>145</v>
      </c>
      <c r="J119" s="16" t="s">
        <v>212</v>
      </c>
      <c r="K119" s="16">
        <v>11000</v>
      </c>
      <c r="L119" s="16">
        <v>1</v>
      </c>
      <c r="M119" s="16">
        <v>11000</v>
      </c>
      <c r="N119" s="16" t="s">
        <v>229</v>
      </c>
    </row>
    <row r="120" spans="6:14" x14ac:dyDescent="0.3">
      <c r="F120" s="28">
        <v>45672</v>
      </c>
      <c r="G120" s="16" t="s">
        <v>10</v>
      </c>
      <c r="H120" s="16" t="s">
        <v>15</v>
      </c>
      <c r="I120" s="16" t="s">
        <v>145</v>
      </c>
      <c r="J120" s="16" t="s">
        <v>206</v>
      </c>
      <c r="K120" s="16">
        <v>11000</v>
      </c>
      <c r="L120" s="16">
        <v>1</v>
      </c>
      <c r="M120" s="16">
        <v>11000</v>
      </c>
      <c r="N120" s="16" t="s">
        <v>230</v>
      </c>
    </row>
    <row r="121" spans="6:14" x14ac:dyDescent="0.3">
      <c r="F121" s="28">
        <v>45672</v>
      </c>
      <c r="G121" s="16" t="s">
        <v>4</v>
      </c>
      <c r="H121" s="16" t="s">
        <v>5</v>
      </c>
      <c r="I121" s="16" t="s">
        <v>136</v>
      </c>
      <c r="J121" s="16" t="s">
        <v>206</v>
      </c>
      <c r="K121" s="16">
        <v>4000</v>
      </c>
      <c r="L121" s="16">
        <v>1</v>
      </c>
      <c r="M121" s="16">
        <v>4000</v>
      </c>
      <c r="N121" s="16" t="s">
        <v>230</v>
      </c>
    </row>
    <row r="122" spans="6:14" x14ac:dyDescent="0.3">
      <c r="F122" s="28">
        <v>45671</v>
      </c>
      <c r="G122" s="16" t="s">
        <v>4</v>
      </c>
      <c r="H122" s="16" t="s">
        <v>5</v>
      </c>
      <c r="I122" s="16" t="s">
        <v>136</v>
      </c>
      <c r="J122" s="16" t="s">
        <v>210</v>
      </c>
      <c r="K122" s="16">
        <v>4000</v>
      </c>
      <c r="L122" s="16">
        <v>1</v>
      </c>
      <c r="M122" s="16">
        <v>4000</v>
      </c>
      <c r="N122" s="16" t="s">
        <v>247</v>
      </c>
    </row>
    <row r="123" spans="6:14" x14ac:dyDescent="0.3">
      <c r="F123" s="28">
        <v>45671</v>
      </c>
      <c r="G123" s="16" t="s">
        <v>47</v>
      </c>
      <c r="H123" s="16" t="s">
        <v>51</v>
      </c>
      <c r="I123" s="16" t="s">
        <v>176</v>
      </c>
      <c r="J123" s="16" t="s">
        <v>210</v>
      </c>
      <c r="K123" s="16">
        <v>5000</v>
      </c>
      <c r="L123" s="16">
        <v>1</v>
      </c>
      <c r="M123" s="16">
        <v>5000</v>
      </c>
      <c r="N123" s="16" t="s">
        <v>247</v>
      </c>
    </row>
    <row r="124" spans="6:14" x14ac:dyDescent="0.3">
      <c r="F124" s="28">
        <v>45670</v>
      </c>
      <c r="G124" s="16" t="s">
        <v>47</v>
      </c>
      <c r="H124" s="16" t="s">
        <v>51</v>
      </c>
      <c r="I124" s="16" t="s">
        <v>176</v>
      </c>
      <c r="J124" s="16" t="s">
        <v>207</v>
      </c>
      <c r="K124" s="16">
        <v>5000</v>
      </c>
      <c r="L124" s="16">
        <v>1</v>
      </c>
      <c r="M124" s="16">
        <v>5000</v>
      </c>
      <c r="N124" s="16" t="s">
        <v>229</v>
      </c>
    </row>
    <row r="125" spans="6:14" x14ac:dyDescent="0.3">
      <c r="F125" s="28">
        <v>45670</v>
      </c>
      <c r="G125" s="16" t="s">
        <v>133</v>
      </c>
      <c r="H125" s="16" t="s">
        <v>41</v>
      </c>
      <c r="I125" s="16" t="s">
        <v>168</v>
      </c>
      <c r="J125" s="16" t="s">
        <v>207</v>
      </c>
      <c r="K125" s="16">
        <v>5000</v>
      </c>
      <c r="L125" s="16">
        <v>1</v>
      </c>
      <c r="M125" s="16">
        <v>5000</v>
      </c>
      <c r="N125" s="16" t="s">
        <v>229</v>
      </c>
    </row>
    <row r="126" spans="6:14" x14ac:dyDescent="0.3">
      <c r="F126" s="28">
        <v>45670</v>
      </c>
      <c r="G126" s="16" t="s">
        <v>133</v>
      </c>
      <c r="H126" s="16" t="s">
        <v>30</v>
      </c>
      <c r="I126" s="16" t="s">
        <v>157</v>
      </c>
      <c r="J126" s="16" t="s">
        <v>207</v>
      </c>
      <c r="K126" s="16">
        <v>4500</v>
      </c>
      <c r="L126" s="16">
        <v>1</v>
      </c>
      <c r="M126" s="16">
        <v>4500</v>
      </c>
      <c r="N126" s="16" t="s">
        <v>229</v>
      </c>
    </row>
    <row r="127" spans="6:14" x14ac:dyDescent="0.3">
      <c r="F127" s="28">
        <v>45670</v>
      </c>
      <c r="G127" s="16" t="s">
        <v>133</v>
      </c>
      <c r="H127" s="16" t="s">
        <v>36</v>
      </c>
      <c r="I127" s="16" t="s">
        <v>163</v>
      </c>
      <c r="J127" s="16" t="s">
        <v>207</v>
      </c>
      <c r="K127" s="16">
        <v>1000</v>
      </c>
      <c r="L127" s="16">
        <v>1</v>
      </c>
      <c r="M127" s="16">
        <v>1000</v>
      </c>
      <c r="N127" s="16" t="s">
        <v>229</v>
      </c>
    </row>
    <row r="128" spans="6:14" x14ac:dyDescent="0.3">
      <c r="F128" s="28">
        <v>45670</v>
      </c>
      <c r="G128" s="16" t="s">
        <v>133</v>
      </c>
      <c r="H128" s="16" t="s">
        <v>35</v>
      </c>
      <c r="I128" s="16" t="s">
        <v>162</v>
      </c>
      <c r="J128" s="16" t="s">
        <v>207</v>
      </c>
      <c r="K128" s="16">
        <v>500</v>
      </c>
      <c r="L128" s="16">
        <v>2</v>
      </c>
      <c r="M128" s="16">
        <v>1000</v>
      </c>
      <c r="N128" s="16" t="s">
        <v>229</v>
      </c>
    </row>
    <row r="129" spans="6:14" x14ac:dyDescent="0.3">
      <c r="F129" s="28">
        <v>45670</v>
      </c>
      <c r="G129" s="16" t="s">
        <v>133</v>
      </c>
      <c r="H129" s="16" t="s">
        <v>34</v>
      </c>
      <c r="I129" s="16" t="s">
        <v>161</v>
      </c>
      <c r="J129" s="16" t="s">
        <v>207</v>
      </c>
      <c r="K129" s="16">
        <v>6500</v>
      </c>
      <c r="L129" s="16">
        <v>1</v>
      </c>
      <c r="M129" s="16">
        <v>6500</v>
      </c>
      <c r="N129" s="16" t="s">
        <v>229</v>
      </c>
    </row>
    <row r="130" spans="6:14" x14ac:dyDescent="0.3">
      <c r="F130" s="28">
        <v>45670</v>
      </c>
      <c r="G130" s="16" t="s">
        <v>10</v>
      </c>
      <c r="H130" s="16" t="s">
        <v>12</v>
      </c>
      <c r="I130" s="16" t="s">
        <v>142</v>
      </c>
      <c r="J130" s="16" t="s">
        <v>207</v>
      </c>
      <c r="K130" s="16">
        <v>4000</v>
      </c>
      <c r="L130" s="16">
        <v>1</v>
      </c>
      <c r="M130" s="16">
        <v>4000</v>
      </c>
      <c r="N130" s="16" t="s">
        <v>229</v>
      </c>
    </row>
    <row r="131" spans="6:14" x14ac:dyDescent="0.3">
      <c r="F131" s="28">
        <v>45670</v>
      </c>
      <c r="G131" s="16" t="s">
        <v>4</v>
      </c>
      <c r="H131" s="16" t="s">
        <v>6</v>
      </c>
      <c r="I131" s="16" t="s">
        <v>137</v>
      </c>
      <c r="J131" s="16" t="s">
        <v>207</v>
      </c>
      <c r="K131" s="16">
        <v>5000</v>
      </c>
      <c r="L131" s="16">
        <v>1</v>
      </c>
      <c r="M131" s="16">
        <v>5000</v>
      </c>
      <c r="N131" s="16" t="s">
        <v>229</v>
      </c>
    </row>
    <row r="132" spans="6:14" x14ac:dyDescent="0.3">
      <c r="F132" s="28">
        <v>45670</v>
      </c>
      <c r="G132" s="16" t="s">
        <v>134</v>
      </c>
      <c r="H132" s="16" t="s">
        <v>52</v>
      </c>
      <c r="I132" s="16" t="s">
        <v>177</v>
      </c>
      <c r="J132" s="16" t="s">
        <v>207</v>
      </c>
      <c r="K132" s="16">
        <v>1000</v>
      </c>
      <c r="L132" s="16">
        <v>1</v>
      </c>
      <c r="M132" s="16">
        <v>1000</v>
      </c>
      <c r="N132" s="16" t="s">
        <v>229</v>
      </c>
    </row>
    <row r="133" spans="6:14" x14ac:dyDescent="0.3">
      <c r="F133" s="28">
        <v>45670</v>
      </c>
      <c r="G133" s="16" t="s">
        <v>134</v>
      </c>
      <c r="H133" s="16" t="s">
        <v>56</v>
      </c>
      <c r="I133" s="16" t="s">
        <v>180</v>
      </c>
      <c r="J133" s="16" t="s">
        <v>207</v>
      </c>
      <c r="K133" s="16">
        <v>3500</v>
      </c>
      <c r="L133" s="16">
        <v>1</v>
      </c>
      <c r="M133" s="16">
        <v>3500</v>
      </c>
      <c r="N133" s="16" t="s">
        <v>229</v>
      </c>
    </row>
    <row r="134" spans="6:14" x14ac:dyDescent="0.3">
      <c r="F134" s="28">
        <v>45669</v>
      </c>
      <c r="G134" s="16" t="s">
        <v>47</v>
      </c>
      <c r="H134" s="16" t="s">
        <v>50</v>
      </c>
      <c r="I134" s="16" t="s">
        <v>175</v>
      </c>
      <c r="J134" s="16" t="s">
        <v>184</v>
      </c>
      <c r="K134" s="16">
        <v>7500</v>
      </c>
      <c r="L134" s="16">
        <v>1</v>
      </c>
      <c r="M134" s="16">
        <v>7500</v>
      </c>
      <c r="N134" s="16" t="s">
        <v>229</v>
      </c>
    </row>
    <row r="135" spans="6:14" x14ac:dyDescent="0.3">
      <c r="F135" s="28">
        <v>45668</v>
      </c>
      <c r="G135" s="16" t="s">
        <v>4</v>
      </c>
      <c r="H135" s="16" t="s">
        <v>6</v>
      </c>
      <c r="I135" s="16" t="s">
        <v>137</v>
      </c>
      <c r="J135" s="16" t="s">
        <v>122</v>
      </c>
      <c r="K135" s="16">
        <v>5000</v>
      </c>
      <c r="L135" s="16">
        <v>1</v>
      </c>
      <c r="M135" s="16">
        <v>5000</v>
      </c>
      <c r="N135" s="16" t="s">
        <v>229</v>
      </c>
    </row>
    <row r="136" spans="6:14" x14ac:dyDescent="0.3">
      <c r="F136" s="28">
        <v>45668</v>
      </c>
      <c r="G136" s="16" t="s">
        <v>4</v>
      </c>
      <c r="H136" s="16" t="s">
        <v>7</v>
      </c>
      <c r="I136" s="16" t="s">
        <v>138</v>
      </c>
      <c r="J136" s="16" t="s">
        <v>182</v>
      </c>
      <c r="K136" s="16">
        <v>5500</v>
      </c>
      <c r="L136" s="16">
        <v>1</v>
      </c>
      <c r="M136" s="16">
        <v>5500</v>
      </c>
      <c r="N136" s="16" t="s">
        <v>230</v>
      </c>
    </row>
    <row r="137" spans="6:14" x14ac:dyDescent="0.3">
      <c r="F137" s="28">
        <v>45668</v>
      </c>
      <c r="G137" s="16" t="s">
        <v>134</v>
      </c>
      <c r="H137" s="16" t="s">
        <v>55</v>
      </c>
      <c r="I137" s="16" t="s">
        <v>179</v>
      </c>
      <c r="J137" s="16" t="s">
        <v>120</v>
      </c>
      <c r="K137" s="16">
        <v>2000</v>
      </c>
      <c r="L137" s="16">
        <v>1</v>
      </c>
      <c r="M137" s="16">
        <v>2000</v>
      </c>
      <c r="N137" s="16" t="s">
        <v>230</v>
      </c>
    </row>
    <row r="138" spans="6:14" x14ac:dyDescent="0.3">
      <c r="F138" s="28">
        <v>45668</v>
      </c>
      <c r="G138" s="16" t="s">
        <v>47</v>
      </c>
      <c r="H138" s="16" t="s">
        <v>49</v>
      </c>
      <c r="I138" s="16" t="s">
        <v>174</v>
      </c>
      <c r="J138" s="16" t="s">
        <v>120</v>
      </c>
      <c r="K138" s="16">
        <v>7500</v>
      </c>
      <c r="L138" s="16">
        <v>1</v>
      </c>
      <c r="M138" s="16">
        <v>7500</v>
      </c>
      <c r="N138" s="16" t="s">
        <v>230</v>
      </c>
    </row>
    <row r="139" spans="6:14" x14ac:dyDescent="0.3">
      <c r="F139" s="28">
        <v>45668</v>
      </c>
      <c r="G139" s="16" t="s">
        <v>133</v>
      </c>
      <c r="H139" s="16" t="s">
        <v>33</v>
      </c>
      <c r="I139" s="16" t="s">
        <v>160</v>
      </c>
      <c r="J139" s="16" t="s">
        <v>120</v>
      </c>
      <c r="K139" s="16">
        <v>4500</v>
      </c>
      <c r="L139" s="16">
        <v>1</v>
      </c>
      <c r="M139" s="16">
        <v>4500</v>
      </c>
      <c r="N139" s="16" t="s">
        <v>230</v>
      </c>
    </row>
    <row r="140" spans="6:14" x14ac:dyDescent="0.3">
      <c r="F140" s="28">
        <v>45668</v>
      </c>
      <c r="G140" s="16" t="s">
        <v>133</v>
      </c>
      <c r="H140" s="16" t="s">
        <v>27</v>
      </c>
      <c r="I140" s="16" t="s">
        <v>155</v>
      </c>
      <c r="J140" s="16" t="s">
        <v>120</v>
      </c>
      <c r="K140" s="16">
        <v>2500</v>
      </c>
      <c r="L140" s="16">
        <v>1</v>
      </c>
      <c r="M140" s="16">
        <v>2500</v>
      </c>
      <c r="N140" s="16" t="s">
        <v>230</v>
      </c>
    </row>
    <row r="141" spans="6:14" x14ac:dyDescent="0.3">
      <c r="F141" s="28">
        <v>45668</v>
      </c>
      <c r="G141" s="16" t="s">
        <v>4</v>
      </c>
      <c r="H141" s="16" t="s">
        <v>7</v>
      </c>
      <c r="I141" s="16" t="s">
        <v>138</v>
      </c>
      <c r="J141" s="16" t="s">
        <v>120</v>
      </c>
      <c r="K141" s="16">
        <v>5500</v>
      </c>
      <c r="L141" s="16">
        <v>1</v>
      </c>
      <c r="M141" s="16">
        <v>5500</v>
      </c>
      <c r="N141" s="16" t="s">
        <v>230</v>
      </c>
    </row>
    <row r="142" spans="6:14" x14ac:dyDescent="0.3">
      <c r="F142" s="28">
        <v>45667</v>
      </c>
      <c r="G142" s="16" t="s">
        <v>4</v>
      </c>
      <c r="H142" s="16" t="s">
        <v>6</v>
      </c>
      <c r="I142" s="16" t="s">
        <v>137</v>
      </c>
      <c r="J142" s="16" t="s">
        <v>202</v>
      </c>
      <c r="K142" s="16">
        <v>5000</v>
      </c>
      <c r="L142" s="16">
        <v>1</v>
      </c>
      <c r="M142" s="16">
        <v>5000</v>
      </c>
      <c r="N142" s="16" t="s">
        <v>229</v>
      </c>
    </row>
    <row r="143" spans="6:14" x14ac:dyDescent="0.3">
      <c r="F143" s="28">
        <v>45667</v>
      </c>
      <c r="G143" s="16" t="s">
        <v>4</v>
      </c>
      <c r="H143" s="16" t="s">
        <v>3</v>
      </c>
      <c r="I143" s="16" t="s">
        <v>135</v>
      </c>
      <c r="J143" s="16" t="s">
        <v>196</v>
      </c>
      <c r="K143" s="16">
        <v>5500</v>
      </c>
      <c r="L143" s="16">
        <v>1</v>
      </c>
      <c r="M143" s="16">
        <v>5500</v>
      </c>
      <c r="N143" s="16" t="s">
        <v>230</v>
      </c>
    </row>
    <row r="144" spans="6:14" x14ac:dyDescent="0.3">
      <c r="F144" s="28">
        <v>45666</v>
      </c>
      <c r="G144" s="16" t="s">
        <v>133</v>
      </c>
      <c r="H144" s="16" t="s">
        <v>38</v>
      </c>
      <c r="I144" s="16" t="s">
        <v>165</v>
      </c>
      <c r="J144" s="16" t="s">
        <v>191</v>
      </c>
      <c r="K144" s="16">
        <v>5000</v>
      </c>
      <c r="L144" s="16">
        <v>1</v>
      </c>
      <c r="M144" s="16">
        <v>5000</v>
      </c>
      <c r="N144" s="16" t="s">
        <v>247</v>
      </c>
    </row>
    <row r="145" spans="6:14" x14ac:dyDescent="0.3">
      <c r="F145" s="28">
        <v>45666</v>
      </c>
      <c r="G145" s="16" t="s">
        <v>19</v>
      </c>
      <c r="H145" s="16" t="s">
        <v>22</v>
      </c>
      <c r="I145" s="16" t="s">
        <v>151</v>
      </c>
      <c r="J145" s="16" t="s">
        <v>191</v>
      </c>
      <c r="K145" s="16">
        <v>4500</v>
      </c>
      <c r="L145" s="16">
        <v>1</v>
      </c>
      <c r="M145" s="16">
        <v>4500</v>
      </c>
      <c r="N145" s="16" t="s">
        <v>247</v>
      </c>
    </row>
    <row r="146" spans="6:14" x14ac:dyDescent="0.3">
      <c r="F146" s="28">
        <v>45666</v>
      </c>
      <c r="G146" s="16" t="s">
        <v>44</v>
      </c>
      <c r="H146" s="16" t="s">
        <v>43</v>
      </c>
      <c r="I146" s="16" t="s">
        <v>170</v>
      </c>
      <c r="J146" s="16" t="s">
        <v>191</v>
      </c>
      <c r="K146" s="16">
        <v>2500</v>
      </c>
      <c r="L146" s="16">
        <v>1</v>
      </c>
      <c r="M146" s="16">
        <v>2500</v>
      </c>
      <c r="N146" s="16" t="s">
        <v>247</v>
      </c>
    </row>
    <row r="147" spans="6:14" x14ac:dyDescent="0.3">
      <c r="F147" s="28">
        <v>45666</v>
      </c>
      <c r="G147" s="16" t="s">
        <v>44</v>
      </c>
      <c r="H147" s="16" t="s">
        <v>45</v>
      </c>
      <c r="I147" s="16" t="s">
        <v>171</v>
      </c>
      <c r="J147" s="16" t="s">
        <v>191</v>
      </c>
      <c r="K147" s="16">
        <v>1500</v>
      </c>
      <c r="L147" s="16">
        <v>1</v>
      </c>
      <c r="M147" s="16">
        <v>1500</v>
      </c>
      <c r="N147" s="16" t="s">
        <v>247</v>
      </c>
    </row>
    <row r="148" spans="6:14" x14ac:dyDescent="0.3">
      <c r="F148" s="28">
        <v>45666</v>
      </c>
      <c r="G148" s="16" t="s">
        <v>4</v>
      </c>
      <c r="H148" s="16" t="s">
        <v>3</v>
      </c>
      <c r="I148" s="16" t="s">
        <v>135</v>
      </c>
      <c r="J148" s="16" t="s">
        <v>191</v>
      </c>
      <c r="K148" s="16">
        <v>5500</v>
      </c>
      <c r="L148" s="16">
        <v>1</v>
      </c>
      <c r="M148" s="16">
        <v>5500</v>
      </c>
      <c r="N148" s="16" t="s">
        <v>247</v>
      </c>
    </row>
    <row r="149" spans="6:14" x14ac:dyDescent="0.3">
      <c r="F149" s="28">
        <v>45666</v>
      </c>
      <c r="G149" s="16" t="s">
        <v>134</v>
      </c>
      <c r="H149" s="16" t="s">
        <v>55</v>
      </c>
      <c r="I149" s="16" t="s">
        <v>179</v>
      </c>
      <c r="J149" s="16" t="s">
        <v>191</v>
      </c>
      <c r="K149" s="16">
        <v>2000</v>
      </c>
      <c r="L149" s="16">
        <v>1</v>
      </c>
      <c r="M149" s="16">
        <v>2000</v>
      </c>
      <c r="N149" s="16" t="s">
        <v>247</v>
      </c>
    </row>
    <row r="150" spans="6:14" x14ac:dyDescent="0.3">
      <c r="F150" s="28">
        <v>45666</v>
      </c>
      <c r="G150" s="16" t="s">
        <v>10</v>
      </c>
      <c r="H150" s="16" t="s">
        <v>14</v>
      </c>
      <c r="I150" s="16" t="s">
        <v>144</v>
      </c>
      <c r="J150" s="16" t="s">
        <v>181</v>
      </c>
      <c r="K150" s="16">
        <v>15000</v>
      </c>
      <c r="L150" s="16">
        <v>1</v>
      </c>
      <c r="M150" s="16">
        <v>15000</v>
      </c>
      <c r="N150" s="16" t="s">
        <v>247</v>
      </c>
    </row>
    <row r="151" spans="6:14" x14ac:dyDescent="0.3">
      <c r="F151" s="28">
        <v>45666</v>
      </c>
      <c r="G151" s="16" t="s">
        <v>19</v>
      </c>
      <c r="H151" s="16" t="s">
        <v>18</v>
      </c>
      <c r="I151" s="16" t="s">
        <v>148</v>
      </c>
      <c r="J151" s="16" t="s">
        <v>209</v>
      </c>
      <c r="K151" s="16">
        <v>2500</v>
      </c>
      <c r="L151" s="16">
        <v>1</v>
      </c>
      <c r="M151" s="16">
        <v>2500</v>
      </c>
      <c r="N151" s="16" t="s">
        <v>230</v>
      </c>
    </row>
    <row r="152" spans="6:14" x14ac:dyDescent="0.3">
      <c r="F152" s="28">
        <v>45664</v>
      </c>
      <c r="G152" s="16" t="s">
        <v>132</v>
      </c>
      <c r="H152" s="16" t="s">
        <v>25</v>
      </c>
      <c r="I152" s="16" t="s">
        <v>153</v>
      </c>
      <c r="J152" s="16" t="s">
        <v>208</v>
      </c>
      <c r="K152" s="16">
        <v>6000</v>
      </c>
      <c r="L152" s="16">
        <v>1</v>
      </c>
      <c r="M152" s="16">
        <v>6000</v>
      </c>
      <c r="N152" s="16" t="s">
        <v>229</v>
      </c>
    </row>
    <row r="153" spans="6:14" x14ac:dyDescent="0.3">
      <c r="F153" s="28">
        <v>45663</v>
      </c>
      <c r="G153" s="16" t="s">
        <v>10</v>
      </c>
      <c r="H153" s="16" t="s">
        <v>9</v>
      </c>
      <c r="I153" s="16" t="s">
        <v>140</v>
      </c>
      <c r="J153" s="16" t="s">
        <v>201</v>
      </c>
      <c r="K153" s="16">
        <v>3500</v>
      </c>
      <c r="L153" s="16">
        <v>1</v>
      </c>
      <c r="M153" s="16">
        <v>3500</v>
      </c>
      <c r="N153" s="16" t="s">
        <v>229</v>
      </c>
    </row>
    <row r="154" spans="6:14" x14ac:dyDescent="0.3">
      <c r="F154" s="28">
        <v>45663</v>
      </c>
      <c r="G154" s="16" t="s">
        <v>4</v>
      </c>
      <c r="H154" s="16" t="s">
        <v>5</v>
      </c>
      <c r="I154" s="16" t="s">
        <v>136</v>
      </c>
      <c r="J154" s="16" t="s">
        <v>201</v>
      </c>
      <c r="K154" s="16">
        <v>4000</v>
      </c>
      <c r="L154" s="16">
        <v>1</v>
      </c>
      <c r="M154" s="16">
        <v>4000</v>
      </c>
      <c r="N154" s="16" t="s">
        <v>229</v>
      </c>
    </row>
    <row r="155" spans="6:14" x14ac:dyDescent="0.3">
      <c r="F155" s="28">
        <v>45663</v>
      </c>
      <c r="G155" s="16" t="s">
        <v>133</v>
      </c>
      <c r="H155" s="16" t="s">
        <v>39</v>
      </c>
      <c r="I155" s="16" t="s">
        <v>166</v>
      </c>
      <c r="J155" s="16" t="s">
        <v>201</v>
      </c>
      <c r="K155" s="16">
        <v>5000</v>
      </c>
      <c r="L155" s="16">
        <v>1</v>
      </c>
      <c r="M155" s="16">
        <v>5000</v>
      </c>
      <c r="N155" s="16" t="s">
        <v>229</v>
      </c>
    </row>
    <row r="156" spans="6:14" x14ac:dyDescent="0.3">
      <c r="F156" s="28">
        <v>45663</v>
      </c>
      <c r="G156" s="16" t="s">
        <v>133</v>
      </c>
      <c r="H156" s="16" t="s">
        <v>27</v>
      </c>
      <c r="I156" s="16" t="s">
        <v>155</v>
      </c>
      <c r="J156" s="16" t="s">
        <v>201</v>
      </c>
      <c r="K156" s="16">
        <v>2500</v>
      </c>
      <c r="L156" s="16">
        <v>1</v>
      </c>
      <c r="M156" s="16">
        <v>2500</v>
      </c>
      <c r="N156" s="16" t="s">
        <v>229</v>
      </c>
    </row>
    <row r="157" spans="6:14" x14ac:dyDescent="0.3">
      <c r="F157" s="28">
        <v>45663</v>
      </c>
      <c r="G157" s="16" t="s">
        <v>133</v>
      </c>
      <c r="H157" s="16" t="s">
        <v>32</v>
      </c>
      <c r="I157" s="16" t="s">
        <v>159</v>
      </c>
      <c r="J157" s="16" t="s">
        <v>201</v>
      </c>
      <c r="K157" s="16">
        <v>4500</v>
      </c>
      <c r="L157" s="16">
        <v>1</v>
      </c>
      <c r="M157" s="16">
        <v>4500</v>
      </c>
      <c r="N157" s="16" t="s">
        <v>229</v>
      </c>
    </row>
    <row r="158" spans="6:14" x14ac:dyDescent="0.3">
      <c r="F158" s="28">
        <v>45663</v>
      </c>
      <c r="G158" s="16" t="s">
        <v>133</v>
      </c>
      <c r="H158" s="16" t="s">
        <v>34</v>
      </c>
      <c r="I158" s="16" t="s">
        <v>161</v>
      </c>
      <c r="J158" s="16" t="s">
        <v>201</v>
      </c>
      <c r="K158" s="16">
        <v>6500</v>
      </c>
      <c r="L158" s="16">
        <v>1</v>
      </c>
      <c r="M158" s="16">
        <v>6500</v>
      </c>
      <c r="N158" s="16" t="s">
        <v>229</v>
      </c>
    </row>
    <row r="159" spans="6:14" x14ac:dyDescent="0.3">
      <c r="F159" s="28">
        <v>45663</v>
      </c>
      <c r="G159" s="16" t="s">
        <v>134</v>
      </c>
      <c r="H159" s="16" t="s">
        <v>54</v>
      </c>
      <c r="I159" s="16" t="s">
        <v>178</v>
      </c>
      <c r="J159" s="16" t="s">
        <v>201</v>
      </c>
      <c r="K159" s="16">
        <v>1000</v>
      </c>
      <c r="L159" s="16">
        <v>1</v>
      </c>
      <c r="M159" s="16">
        <v>1000</v>
      </c>
      <c r="N159" s="16" t="s">
        <v>229</v>
      </c>
    </row>
    <row r="160" spans="6:14" x14ac:dyDescent="0.3">
      <c r="F160" s="28">
        <v>45663</v>
      </c>
      <c r="G160" s="16" t="s">
        <v>134</v>
      </c>
      <c r="H160" s="16" t="s">
        <v>56</v>
      </c>
      <c r="I160" s="16" t="s">
        <v>180</v>
      </c>
      <c r="J160" s="16" t="s">
        <v>201</v>
      </c>
      <c r="K160" s="16">
        <v>3500</v>
      </c>
      <c r="L160" s="16">
        <v>1</v>
      </c>
      <c r="M160" s="16">
        <v>3500</v>
      </c>
      <c r="N160" s="16" t="s">
        <v>229</v>
      </c>
    </row>
    <row r="161" spans="6:14" x14ac:dyDescent="0.3">
      <c r="F161" s="28">
        <v>45663</v>
      </c>
      <c r="G161" s="16" t="s">
        <v>44</v>
      </c>
      <c r="H161" s="16" t="s">
        <v>45</v>
      </c>
      <c r="I161" s="16" t="s">
        <v>171</v>
      </c>
      <c r="J161" s="16" t="s">
        <v>195</v>
      </c>
      <c r="K161" s="16">
        <v>1500</v>
      </c>
      <c r="L161" s="16">
        <v>1</v>
      </c>
      <c r="M161" s="16">
        <v>1500</v>
      </c>
      <c r="N161" s="16" t="s">
        <v>229</v>
      </c>
    </row>
    <row r="162" spans="6:14" x14ac:dyDescent="0.3">
      <c r="F162" s="28">
        <v>45663</v>
      </c>
      <c r="G162" s="16" t="s">
        <v>10</v>
      </c>
      <c r="H162" s="16" t="s">
        <v>9</v>
      </c>
      <c r="I162" s="16" t="s">
        <v>140</v>
      </c>
      <c r="J162" s="16" t="s">
        <v>195</v>
      </c>
      <c r="K162" s="16">
        <v>3500</v>
      </c>
      <c r="L162" s="16">
        <v>2</v>
      </c>
      <c r="M162" s="16">
        <v>7000</v>
      </c>
      <c r="N162" s="16" t="s">
        <v>229</v>
      </c>
    </row>
    <row r="163" spans="6:14" x14ac:dyDescent="0.3">
      <c r="F163" s="28">
        <v>45663</v>
      </c>
      <c r="G163" s="16" t="s">
        <v>10</v>
      </c>
      <c r="H163" s="16" t="s">
        <v>16</v>
      </c>
      <c r="I163" s="16" t="s">
        <v>146</v>
      </c>
      <c r="J163" s="16" t="s">
        <v>190</v>
      </c>
      <c r="K163" s="16">
        <v>3500</v>
      </c>
      <c r="L163" s="16">
        <v>2</v>
      </c>
      <c r="M163" s="16">
        <v>7000</v>
      </c>
      <c r="N163" s="16" t="s">
        <v>229</v>
      </c>
    </row>
    <row r="164" spans="6:14" x14ac:dyDescent="0.3">
      <c r="F164" s="28">
        <v>45661</v>
      </c>
      <c r="G164" s="16" t="s">
        <v>47</v>
      </c>
      <c r="H164" s="16" t="s">
        <v>46</v>
      </c>
      <c r="I164" s="16" t="s">
        <v>172</v>
      </c>
      <c r="J164" s="16" t="s">
        <v>188</v>
      </c>
      <c r="K164" s="16">
        <v>5000</v>
      </c>
      <c r="L164" s="16">
        <v>1</v>
      </c>
      <c r="M164" s="16">
        <v>5000</v>
      </c>
      <c r="N164" s="16" t="s">
        <v>229</v>
      </c>
    </row>
    <row r="165" spans="6:14" x14ac:dyDescent="0.3">
      <c r="F165" s="28">
        <v>45661</v>
      </c>
      <c r="G165" s="16" t="s">
        <v>4</v>
      </c>
      <c r="H165" s="16" t="s">
        <v>8</v>
      </c>
      <c r="I165" s="16" t="s">
        <v>139</v>
      </c>
      <c r="J165" s="16" t="s">
        <v>188</v>
      </c>
      <c r="K165" s="16">
        <v>5500</v>
      </c>
      <c r="L165" s="16">
        <v>1</v>
      </c>
      <c r="M165" s="16">
        <v>5500</v>
      </c>
      <c r="N165" s="16" t="s">
        <v>229</v>
      </c>
    </row>
    <row r="166" spans="6:14" x14ac:dyDescent="0.3">
      <c r="F166" s="28">
        <v>45661</v>
      </c>
      <c r="G166" s="16" t="s">
        <v>134</v>
      </c>
      <c r="H166" s="16" t="s">
        <v>55</v>
      </c>
      <c r="I166" s="16" t="s">
        <v>179</v>
      </c>
      <c r="J166" s="16" t="s">
        <v>188</v>
      </c>
      <c r="K166" s="16">
        <v>2000</v>
      </c>
      <c r="L166" s="16">
        <v>1</v>
      </c>
      <c r="M166" s="16">
        <v>2000</v>
      </c>
      <c r="N166" s="16" t="s">
        <v>229</v>
      </c>
    </row>
    <row r="167" spans="6:14" x14ac:dyDescent="0.3">
      <c r="F167" s="28">
        <v>45661</v>
      </c>
      <c r="G167" s="16" t="s">
        <v>47</v>
      </c>
      <c r="H167" s="16" t="s">
        <v>51</v>
      </c>
      <c r="I167" s="16" t="s">
        <v>176</v>
      </c>
      <c r="J167" s="16" t="s">
        <v>188</v>
      </c>
      <c r="K167" s="16">
        <v>5000</v>
      </c>
      <c r="L167" s="16">
        <v>1</v>
      </c>
      <c r="M167" s="16">
        <v>5000</v>
      </c>
      <c r="N167" s="16" t="s">
        <v>229</v>
      </c>
    </row>
    <row r="168" spans="6:14" x14ac:dyDescent="0.3">
      <c r="F168" s="28">
        <v>45660</v>
      </c>
      <c r="G168" s="16" t="s">
        <v>44</v>
      </c>
      <c r="H168" s="16" t="s">
        <v>43</v>
      </c>
      <c r="I168" s="16" t="s">
        <v>170</v>
      </c>
      <c r="J168" s="16" t="s">
        <v>185</v>
      </c>
      <c r="K168" s="16">
        <v>2500</v>
      </c>
      <c r="L168" s="16">
        <v>1</v>
      </c>
      <c r="M168" s="16">
        <v>2500</v>
      </c>
      <c r="N168" s="16" t="s">
        <v>229</v>
      </c>
    </row>
    <row r="169" spans="6:14" x14ac:dyDescent="0.3">
      <c r="F169" s="18">
        <v>45660</v>
      </c>
      <c r="G169" s="19" t="s">
        <v>133</v>
      </c>
      <c r="H169" s="19" t="s">
        <v>29</v>
      </c>
      <c r="I169" s="19" t="s">
        <v>156</v>
      </c>
      <c r="J169" s="19" t="s">
        <v>185</v>
      </c>
      <c r="K169" s="19">
        <v>5000</v>
      </c>
      <c r="L169" s="19">
        <v>1</v>
      </c>
      <c r="M169" s="19">
        <v>5000</v>
      </c>
      <c r="N169" s="19" t="s">
        <v>229</v>
      </c>
    </row>
    <row r="170" spans="6:14" x14ac:dyDescent="0.3">
      <c r="F170" s="18">
        <v>45659</v>
      </c>
      <c r="G170" s="19" t="s">
        <v>47</v>
      </c>
      <c r="H170" s="19" t="s">
        <v>48</v>
      </c>
      <c r="I170" s="19" t="s">
        <v>173</v>
      </c>
      <c r="J170" s="19" t="s">
        <v>211</v>
      </c>
      <c r="K170" s="19">
        <v>5000</v>
      </c>
      <c r="L170" s="19">
        <v>1</v>
      </c>
      <c r="M170" s="19">
        <v>5000</v>
      </c>
      <c r="N170" s="19" t="s">
        <v>230</v>
      </c>
    </row>
    <row r="171" spans="6:14" x14ac:dyDescent="0.3">
      <c r="F171" s="18">
        <v>45659</v>
      </c>
      <c r="G171" s="19" t="s">
        <v>4</v>
      </c>
      <c r="H171" s="19" t="s">
        <v>6</v>
      </c>
      <c r="I171" s="19" t="s">
        <v>137</v>
      </c>
      <c r="J171" s="19" t="s">
        <v>119</v>
      </c>
      <c r="K171" s="19">
        <v>5000</v>
      </c>
      <c r="L171" s="19">
        <v>1</v>
      </c>
      <c r="M171" s="19">
        <v>5000</v>
      </c>
      <c r="N171" s="19" t="s">
        <v>229</v>
      </c>
    </row>
    <row r="172" spans="6:14" x14ac:dyDescent="0.3">
      <c r="F172" s="13">
        <v>45659</v>
      </c>
      <c r="G172" s="1" t="s">
        <v>19</v>
      </c>
      <c r="H172" s="1" t="s">
        <v>20</v>
      </c>
      <c r="I172" s="1" t="s">
        <v>149</v>
      </c>
      <c r="J172" s="1" t="s">
        <v>119</v>
      </c>
      <c r="K172" s="1">
        <v>9000</v>
      </c>
      <c r="L172" s="1">
        <v>1</v>
      </c>
      <c r="M172" s="1">
        <v>9000</v>
      </c>
      <c r="N172" s="1" t="s">
        <v>229</v>
      </c>
    </row>
    <row r="173" spans="6:14" x14ac:dyDescent="0.3">
      <c r="F173" s="13">
        <v>45659</v>
      </c>
      <c r="G173" s="1" t="s">
        <v>10</v>
      </c>
      <c r="H173" s="1" t="s">
        <v>13</v>
      </c>
      <c r="I173" s="1" t="s">
        <v>143</v>
      </c>
      <c r="J173" s="1" t="s">
        <v>119</v>
      </c>
      <c r="K173" s="1">
        <v>6500</v>
      </c>
      <c r="L173" s="1">
        <v>1</v>
      </c>
      <c r="M173" s="1">
        <v>6500</v>
      </c>
      <c r="N173" s="1" t="s">
        <v>229</v>
      </c>
    </row>
    <row r="174" spans="6:14" x14ac:dyDescent="0.3">
      <c r="F174" s="13">
        <v>45659</v>
      </c>
      <c r="G174" s="1" t="s">
        <v>47</v>
      </c>
      <c r="H174" s="1" t="s">
        <v>51</v>
      </c>
      <c r="I174" s="1" t="s">
        <v>176</v>
      </c>
      <c r="J174" s="1" t="s">
        <v>123</v>
      </c>
      <c r="K174" s="1">
        <v>5000</v>
      </c>
      <c r="L174" s="1">
        <v>1</v>
      </c>
      <c r="M174" s="1">
        <v>5000</v>
      </c>
      <c r="N174" s="1" t="s">
        <v>229</v>
      </c>
    </row>
    <row r="175" spans="6:14" x14ac:dyDescent="0.3">
      <c r="F175" s="13">
        <v>45659</v>
      </c>
      <c r="G175" s="1" t="s">
        <v>47</v>
      </c>
      <c r="H175" s="1" t="s">
        <v>51</v>
      </c>
      <c r="I175" s="1" t="s">
        <v>176</v>
      </c>
      <c r="J175" s="1" t="s">
        <v>123</v>
      </c>
      <c r="K175" s="1">
        <v>5000</v>
      </c>
      <c r="L175" s="1">
        <v>1</v>
      </c>
      <c r="M175" s="1">
        <v>5000</v>
      </c>
      <c r="N175" s="1" t="s">
        <v>229</v>
      </c>
    </row>
    <row r="176" spans="6:14" x14ac:dyDescent="0.3">
      <c r="F176" s="13">
        <v>45659</v>
      </c>
      <c r="G176" s="1" t="s">
        <v>133</v>
      </c>
      <c r="H176" s="1" t="s">
        <v>29</v>
      </c>
      <c r="I176" s="1" t="s">
        <v>156</v>
      </c>
      <c r="J176" s="1" t="s">
        <v>123</v>
      </c>
      <c r="K176" s="1">
        <v>5000</v>
      </c>
      <c r="L176" s="1">
        <v>1</v>
      </c>
      <c r="M176" s="1">
        <v>5000</v>
      </c>
      <c r="N176" s="1" t="s">
        <v>229</v>
      </c>
    </row>
    <row r="177" spans="6:14" x14ac:dyDescent="0.3">
      <c r="F177" s="13">
        <v>45659</v>
      </c>
      <c r="G177" s="1" t="s">
        <v>19</v>
      </c>
      <c r="H177" s="1" t="s">
        <v>21</v>
      </c>
      <c r="I177" s="1" t="s">
        <v>150</v>
      </c>
      <c r="J177" s="1" t="s">
        <v>123</v>
      </c>
      <c r="K177" s="1">
        <v>5000</v>
      </c>
      <c r="L177" s="1">
        <v>4</v>
      </c>
      <c r="M177" s="1">
        <v>20000</v>
      </c>
      <c r="N177" s="1" t="s">
        <v>229</v>
      </c>
    </row>
    <row r="178" spans="6:14" x14ac:dyDescent="0.3">
      <c r="F178" s="13"/>
    </row>
    <row r="179" spans="6:14" x14ac:dyDescent="0.3">
      <c r="F179" s="13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1FCB5-67AA-414C-9811-69D0F93C81E6}">
  <sheetPr codeName="Sheet4"/>
  <dimension ref="F7:M60"/>
  <sheetViews>
    <sheetView workbookViewId="0">
      <selection activeCell="F9" sqref="F9:M9"/>
    </sheetView>
  </sheetViews>
  <sheetFormatPr defaultRowHeight="14.4" x14ac:dyDescent="0.3"/>
  <cols>
    <col min="1" max="5" width="8.88671875" style="1"/>
    <col min="6" max="6" width="9" style="1" bestFit="1" customWidth="1"/>
    <col min="7" max="7" width="18.21875" style="1" bestFit="1" customWidth="1"/>
    <col min="8" max="8" width="16" style="1" bestFit="1" customWidth="1"/>
    <col min="9" max="9" width="11.6640625" style="1" bestFit="1" customWidth="1"/>
    <col min="10" max="10" width="16.5546875" style="1" bestFit="1" customWidth="1"/>
    <col min="11" max="11" width="6.88671875" style="1" bestFit="1" customWidth="1"/>
    <col min="12" max="12" width="10.5546875" style="1" bestFit="1" customWidth="1"/>
    <col min="13" max="13" width="11.5546875" style="1" bestFit="1" customWidth="1"/>
    <col min="14" max="16384" width="8.88671875" style="1"/>
  </cols>
  <sheetData>
    <row r="7" spans="6:13" x14ac:dyDescent="0.3">
      <c r="F7" s="20" t="s">
        <v>127</v>
      </c>
      <c r="G7" s="5" t="s">
        <v>2</v>
      </c>
      <c r="H7" s="5" t="s">
        <v>1</v>
      </c>
      <c r="I7" s="5" t="s">
        <v>0</v>
      </c>
      <c r="J7" s="5" t="s">
        <v>126</v>
      </c>
      <c r="K7" s="5" t="s">
        <v>57</v>
      </c>
      <c r="L7" s="5" t="s">
        <v>128</v>
      </c>
      <c r="M7" s="5" t="s">
        <v>129</v>
      </c>
    </row>
    <row r="8" spans="6:13" x14ac:dyDescent="0.3">
      <c r="F8" s="28"/>
      <c r="G8" s="16"/>
      <c r="H8" s="16"/>
      <c r="I8" s="16"/>
      <c r="J8" s="16"/>
      <c r="K8" s="16"/>
      <c r="L8" s="16"/>
      <c r="M8" s="16"/>
    </row>
    <row r="9" spans="6:13" x14ac:dyDescent="0.3">
      <c r="F9" s="18">
        <v>45659</v>
      </c>
      <c r="G9" s="19" t="s">
        <v>133</v>
      </c>
      <c r="H9" s="19" t="s">
        <v>30</v>
      </c>
      <c r="I9" s="19" t="s">
        <v>157</v>
      </c>
      <c r="J9" s="19" t="s">
        <v>213</v>
      </c>
      <c r="K9" s="19">
        <v>2000</v>
      </c>
      <c r="L9" s="19">
        <v>3</v>
      </c>
      <c r="M9" s="19">
        <v>6000</v>
      </c>
    </row>
    <row r="10" spans="6:13" x14ac:dyDescent="0.3">
      <c r="F10" s="18">
        <v>45659</v>
      </c>
      <c r="G10" s="19" t="s">
        <v>133</v>
      </c>
      <c r="H10" s="19" t="s">
        <v>32</v>
      </c>
      <c r="I10" s="19" t="s">
        <v>159</v>
      </c>
      <c r="J10" s="19" t="s">
        <v>213</v>
      </c>
      <c r="K10" s="19">
        <v>2500</v>
      </c>
      <c r="L10" s="19">
        <v>12</v>
      </c>
      <c r="M10" s="19">
        <v>30000</v>
      </c>
    </row>
    <row r="11" spans="6:13" x14ac:dyDescent="0.3">
      <c r="F11" s="18">
        <v>45659</v>
      </c>
      <c r="G11" s="19" t="s">
        <v>134</v>
      </c>
      <c r="H11" s="19" t="s">
        <v>55</v>
      </c>
      <c r="I11" s="19" t="s">
        <v>179</v>
      </c>
      <c r="J11" s="19" t="s">
        <v>221</v>
      </c>
      <c r="K11" s="19">
        <v>1000</v>
      </c>
      <c r="L11" s="19">
        <v>12</v>
      </c>
      <c r="M11" s="19">
        <v>12000</v>
      </c>
    </row>
    <row r="12" spans="6:13" x14ac:dyDescent="0.3">
      <c r="F12" s="18">
        <v>45659</v>
      </c>
      <c r="G12" s="19" t="s">
        <v>134</v>
      </c>
      <c r="H12" s="19" t="s">
        <v>56</v>
      </c>
      <c r="I12" s="19" t="s">
        <v>180</v>
      </c>
      <c r="J12" s="19" t="s">
        <v>221</v>
      </c>
      <c r="K12" s="19">
        <v>2000</v>
      </c>
      <c r="L12" s="19">
        <v>20</v>
      </c>
      <c r="M12" s="19">
        <v>40000</v>
      </c>
    </row>
    <row r="13" spans="6:13" x14ac:dyDescent="0.3">
      <c r="F13" s="18">
        <v>45659</v>
      </c>
      <c r="G13" s="19" t="s">
        <v>134</v>
      </c>
      <c r="H13" s="19" t="s">
        <v>54</v>
      </c>
      <c r="I13" s="19" t="s">
        <v>178</v>
      </c>
      <c r="J13" s="19" t="s">
        <v>221</v>
      </c>
      <c r="K13" s="19">
        <v>500</v>
      </c>
      <c r="L13" s="19">
        <v>12</v>
      </c>
      <c r="M13" s="19">
        <v>6000</v>
      </c>
    </row>
    <row r="14" spans="6:13" x14ac:dyDescent="0.3">
      <c r="F14" s="18">
        <v>45659</v>
      </c>
      <c r="G14" s="19" t="s">
        <v>134</v>
      </c>
      <c r="H14" s="19" t="s">
        <v>52</v>
      </c>
      <c r="I14" s="19" t="s">
        <v>177</v>
      </c>
      <c r="J14" s="19" t="s">
        <v>221</v>
      </c>
      <c r="K14" s="19">
        <v>500</v>
      </c>
      <c r="L14" s="19">
        <v>12</v>
      </c>
      <c r="M14" s="19">
        <v>6000</v>
      </c>
    </row>
    <row r="15" spans="6:13" x14ac:dyDescent="0.3">
      <c r="F15" s="18">
        <v>45659</v>
      </c>
      <c r="G15" s="19" t="s">
        <v>47</v>
      </c>
      <c r="H15" s="19" t="s">
        <v>51</v>
      </c>
      <c r="I15" s="19" t="s">
        <v>176</v>
      </c>
      <c r="J15" s="19" t="s">
        <v>220</v>
      </c>
      <c r="K15" s="19">
        <v>3200</v>
      </c>
      <c r="L15" s="19">
        <v>12</v>
      </c>
      <c r="M15" s="19">
        <v>38400</v>
      </c>
    </row>
    <row r="16" spans="6:13" x14ac:dyDescent="0.3">
      <c r="F16" s="18">
        <v>45659</v>
      </c>
      <c r="G16" s="19" t="s">
        <v>47</v>
      </c>
      <c r="H16" s="19" t="s">
        <v>50</v>
      </c>
      <c r="I16" s="19" t="s">
        <v>175</v>
      </c>
      <c r="J16" s="19" t="s">
        <v>220</v>
      </c>
      <c r="K16" s="19">
        <v>4000</v>
      </c>
      <c r="L16" s="19">
        <v>5</v>
      </c>
      <c r="M16" s="19">
        <v>20000</v>
      </c>
    </row>
    <row r="17" spans="6:13" x14ac:dyDescent="0.3">
      <c r="F17" s="18">
        <v>45659</v>
      </c>
      <c r="G17" s="19" t="s">
        <v>47</v>
      </c>
      <c r="H17" s="19" t="s">
        <v>49</v>
      </c>
      <c r="I17" s="19" t="s">
        <v>174</v>
      </c>
      <c r="J17" s="19" t="s">
        <v>220</v>
      </c>
      <c r="K17" s="19">
        <v>4500</v>
      </c>
      <c r="L17" s="19">
        <v>6</v>
      </c>
      <c r="M17" s="19">
        <v>27000</v>
      </c>
    </row>
    <row r="18" spans="6:13" x14ac:dyDescent="0.3">
      <c r="F18" s="18">
        <v>45659</v>
      </c>
      <c r="G18" s="19" t="s">
        <v>47</v>
      </c>
      <c r="H18" s="19" t="s">
        <v>48</v>
      </c>
      <c r="I18" s="19" t="s">
        <v>173</v>
      </c>
      <c r="J18" s="19" t="s">
        <v>220</v>
      </c>
      <c r="K18" s="19">
        <v>3500</v>
      </c>
      <c r="L18" s="19">
        <v>3</v>
      </c>
      <c r="M18" s="19">
        <v>10500</v>
      </c>
    </row>
    <row r="19" spans="6:13" x14ac:dyDescent="0.3">
      <c r="F19" s="18">
        <v>45659</v>
      </c>
      <c r="G19" s="19" t="s">
        <v>47</v>
      </c>
      <c r="H19" s="19" t="s">
        <v>46</v>
      </c>
      <c r="I19" s="19" t="s">
        <v>172</v>
      </c>
      <c r="J19" s="19" t="s">
        <v>220</v>
      </c>
      <c r="K19" s="19">
        <v>3500</v>
      </c>
      <c r="L19" s="19">
        <v>3</v>
      </c>
      <c r="M19" s="19">
        <v>10500</v>
      </c>
    </row>
    <row r="20" spans="6:13" x14ac:dyDescent="0.3">
      <c r="F20" s="18">
        <v>45659</v>
      </c>
      <c r="G20" s="19" t="s">
        <v>44</v>
      </c>
      <c r="H20" s="19" t="s">
        <v>45</v>
      </c>
      <c r="I20" s="19" t="s">
        <v>171</v>
      </c>
      <c r="J20" s="19" t="s">
        <v>222</v>
      </c>
      <c r="K20" s="19">
        <v>800</v>
      </c>
      <c r="L20" s="19">
        <v>10</v>
      </c>
      <c r="M20" s="19">
        <v>8000</v>
      </c>
    </row>
    <row r="21" spans="6:13" x14ac:dyDescent="0.3">
      <c r="F21" s="18">
        <v>45659</v>
      </c>
      <c r="G21" s="19" t="s">
        <v>44</v>
      </c>
      <c r="H21" s="19" t="s">
        <v>43</v>
      </c>
      <c r="I21" s="19" t="s">
        <v>170</v>
      </c>
      <c r="J21" s="19" t="s">
        <v>220</v>
      </c>
      <c r="K21" s="19">
        <v>1200</v>
      </c>
      <c r="L21" s="19">
        <v>12</v>
      </c>
      <c r="M21" s="19">
        <v>14400</v>
      </c>
    </row>
    <row r="22" spans="6:13" x14ac:dyDescent="0.3">
      <c r="F22" s="18">
        <v>45659</v>
      </c>
      <c r="G22" s="19" t="s">
        <v>133</v>
      </c>
      <c r="H22" s="19" t="s">
        <v>42</v>
      </c>
      <c r="I22" s="19" t="s">
        <v>169</v>
      </c>
      <c r="J22" s="19" t="s">
        <v>213</v>
      </c>
      <c r="K22" s="19">
        <v>3000</v>
      </c>
      <c r="L22" s="19">
        <v>1</v>
      </c>
      <c r="M22" s="19">
        <v>3000</v>
      </c>
    </row>
    <row r="23" spans="6:13" x14ac:dyDescent="0.3">
      <c r="F23" s="18">
        <v>45659</v>
      </c>
      <c r="G23" s="19" t="s">
        <v>133</v>
      </c>
      <c r="H23" s="19" t="s">
        <v>40</v>
      </c>
      <c r="I23" s="19" t="s">
        <v>167</v>
      </c>
      <c r="J23" s="19" t="s">
        <v>213</v>
      </c>
      <c r="K23" s="19">
        <v>2800</v>
      </c>
      <c r="L23" s="19">
        <v>1</v>
      </c>
      <c r="M23" s="19">
        <v>2800</v>
      </c>
    </row>
    <row r="24" spans="6:13" x14ac:dyDescent="0.3">
      <c r="F24" s="18">
        <v>45659</v>
      </c>
      <c r="G24" s="19" t="s">
        <v>133</v>
      </c>
      <c r="H24" s="19" t="s">
        <v>41</v>
      </c>
      <c r="I24" s="19" t="s">
        <v>168</v>
      </c>
      <c r="J24" s="19" t="s">
        <v>213</v>
      </c>
      <c r="K24" s="19">
        <v>3000</v>
      </c>
      <c r="L24" s="19">
        <v>12</v>
      </c>
      <c r="M24" s="19">
        <v>36000</v>
      </c>
    </row>
    <row r="25" spans="6:13" x14ac:dyDescent="0.3">
      <c r="F25" s="18">
        <v>45659</v>
      </c>
      <c r="G25" s="19" t="s">
        <v>133</v>
      </c>
      <c r="H25" s="19" t="s">
        <v>39</v>
      </c>
      <c r="I25" s="19" t="s">
        <v>166</v>
      </c>
      <c r="J25" s="19" t="s">
        <v>213</v>
      </c>
      <c r="K25" s="19">
        <v>2000</v>
      </c>
      <c r="L25" s="19">
        <v>7</v>
      </c>
      <c r="M25" s="19">
        <v>14000</v>
      </c>
    </row>
    <row r="26" spans="6:13" x14ac:dyDescent="0.3">
      <c r="F26" s="18">
        <v>45659</v>
      </c>
      <c r="G26" s="19" t="s">
        <v>133</v>
      </c>
      <c r="H26" s="19" t="s">
        <v>38</v>
      </c>
      <c r="I26" s="19" t="s">
        <v>165</v>
      </c>
      <c r="J26" s="19" t="s">
        <v>220</v>
      </c>
      <c r="K26" s="19">
        <v>3000</v>
      </c>
      <c r="L26" s="19">
        <v>3</v>
      </c>
      <c r="M26" s="19">
        <v>9000</v>
      </c>
    </row>
    <row r="27" spans="6:13" x14ac:dyDescent="0.3">
      <c r="F27" s="18">
        <v>45659</v>
      </c>
      <c r="G27" s="19" t="s">
        <v>133</v>
      </c>
      <c r="H27" s="19" t="s">
        <v>37</v>
      </c>
      <c r="I27" s="19" t="s">
        <v>164</v>
      </c>
      <c r="J27" s="19" t="s">
        <v>220</v>
      </c>
      <c r="K27" s="19">
        <v>1800</v>
      </c>
      <c r="L27" s="19">
        <v>3</v>
      </c>
      <c r="M27" s="19">
        <v>5400</v>
      </c>
    </row>
    <row r="28" spans="6:13" x14ac:dyDescent="0.3">
      <c r="F28" s="18">
        <v>45659</v>
      </c>
      <c r="G28" s="19" t="s">
        <v>133</v>
      </c>
      <c r="H28" s="19" t="s">
        <v>36</v>
      </c>
      <c r="I28" s="19" t="s">
        <v>163</v>
      </c>
      <c r="J28" s="19" t="s">
        <v>220</v>
      </c>
      <c r="K28" s="19">
        <v>600</v>
      </c>
      <c r="L28" s="19">
        <v>10</v>
      </c>
      <c r="M28" s="19">
        <v>6000</v>
      </c>
    </row>
    <row r="29" spans="6:13" x14ac:dyDescent="0.3">
      <c r="F29" s="18">
        <v>45659</v>
      </c>
      <c r="G29" s="19" t="s">
        <v>133</v>
      </c>
      <c r="H29" s="19" t="s">
        <v>35</v>
      </c>
      <c r="I29" s="19" t="s">
        <v>162</v>
      </c>
      <c r="J29" s="19" t="s">
        <v>220</v>
      </c>
      <c r="K29" s="19">
        <v>300</v>
      </c>
      <c r="L29" s="19">
        <v>24</v>
      </c>
      <c r="M29" s="19">
        <v>7200</v>
      </c>
    </row>
    <row r="30" spans="6:13" x14ac:dyDescent="0.3">
      <c r="F30" s="18">
        <v>45659</v>
      </c>
      <c r="G30" s="19" t="s">
        <v>133</v>
      </c>
      <c r="H30" s="19" t="s">
        <v>34</v>
      </c>
      <c r="I30" s="19" t="s">
        <v>161</v>
      </c>
      <c r="J30" s="19" t="s">
        <v>220</v>
      </c>
      <c r="K30" s="19">
        <v>3500</v>
      </c>
      <c r="L30" s="19">
        <v>12</v>
      </c>
      <c r="M30" s="19">
        <v>42000</v>
      </c>
    </row>
    <row r="31" spans="6:13" x14ac:dyDescent="0.3">
      <c r="F31" s="18">
        <v>45659</v>
      </c>
      <c r="G31" s="19" t="s">
        <v>133</v>
      </c>
      <c r="H31" s="19" t="s">
        <v>33</v>
      </c>
      <c r="I31" s="19" t="s">
        <v>160</v>
      </c>
      <c r="J31" s="19" t="s">
        <v>213</v>
      </c>
      <c r="K31" s="19">
        <v>3000</v>
      </c>
      <c r="L31" s="19">
        <v>3</v>
      </c>
      <c r="M31" s="19">
        <v>9000</v>
      </c>
    </row>
    <row r="32" spans="6:13" x14ac:dyDescent="0.3">
      <c r="F32" s="18">
        <v>45659</v>
      </c>
      <c r="G32" s="19" t="s">
        <v>133</v>
      </c>
      <c r="H32" s="19" t="s">
        <v>31</v>
      </c>
      <c r="I32" s="19" t="s">
        <v>158</v>
      </c>
      <c r="J32" s="19" t="s">
        <v>213</v>
      </c>
      <c r="K32" s="19">
        <v>2800</v>
      </c>
      <c r="L32" s="19">
        <v>5</v>
      </c>
      <c r="M32" s="19">
        <v>14000</v>
      </c>
    </row>
    <row r="33" spans="6:13" x14ac:dyDescent="0.3">
      <c r="F33" s="18">
        <v>45659</v>
      </c>
      <c r="G33" s="19" t="s">
        <v>133</v>
      </c>
      <c r="H33" s="19" t="s">
        <v>29</v>
      </c>
      <c r="I33" s="19" t="s">
        <v>156</v>
      </c>
      <c r="J33" s="19" t="s">
        <v>213</v>
      </c>
      <c r="K33" s="19">
        <v>3200</v>
      </c>
      <c r="L33" s="19">
        <v>3</v>
      </c>
      <c r="M33" s="19">
        <v>9600</v>
      </c>
    </row>
    <row r="34" spans="6:13" x14ac:dyDescent="0.3">
      <c r="F34" s="18">
        <v>45659</v>
      </c>
      <c r="G34" s="19" t="s">
        <v>133</v>
      </c>
      <c r="H34" s="19" t="s">
        <v>27</v>
      </c>
      <c r="I34" s="19" t="s">
        <v>155</v>
      </c>
      <c r="J34" s="19" t="s">
        <v>213</v>
      </c>
      <c r="K34" s="19">
        <v>1300</v>
      </c>
      <c r="L34" s="19">
        <v>12</v>
      </c>
      <c r="M34" s="19">
        <v>15600</v>
      </c>
    </row>
    <row r="35" spans="6:13" x14ac:dyDescent="0.3">
      <c r="F35" s="18">
        <v>45658</v>
      </c>
      <c r="G35" s="19" t="s">
        <v>132</v>
      </c>
      <c r="H35" s="19" t="s">
        <v>26</v>
      </c>
      <c r="I35" s="19" t="s">
        <v>154</v>
      </c>
      <c r="J35" s="19" t="s">
        <v>219</v>
      </c>
      <c r="K35" s="19">
        <v>4500</v>
      </c>
      <c r="L35" s="19">
        <v>2</v>
      </c>
      <c r="M35" s="19">
        <v>9000</v>
      </c>
    </row>
    <row r="36" spans="6:13" x14ac:dyDescent="0.3">
      <c r="F36" s="18">
        <v>45658</v>
      </c>
      <c r="G36" s="19" t="s">
        <v>132</v>
      </c>
      <c r="H36" s="19" t="s">
        <v>25</v>
      </c>
      <c r="I36" s="19" t="s">
        <v>153</v>
      </c>
      <c r="J36" s="19" t="s">
        <v>219</v>
      </c>
      <c r="K36" s="19">
        <v>2800</v>
      </c>
      <c r="L36" s="19">
        <v>8</v>
      </c>
      <c r="M36" s="19">
        <v>22400</v>
      </c>
    </row>
    <row r="37" spans="6:13" x14ac:dyDescent="0.3">
      <c r="F37" s="18">
        <v>45658</v>
      </c>
      <c r="G37" s="19" t="s">
        <v>132</v>
      </c>
      <c r="H37" s="19" t="s">
        <v>23</v>
      </c>
      <c r="I37" s="19" t="s">
        <v>152</v>
      </c>
      <c r="J37" s="19" t="s">
        <v>219</v>
      </c>
      <c r="K37" s="19">
        <v>5000</v>
      </c>
      <c r="L37" s="19">
        <v>3</v>
      </c>
      <c r="M37" s="19">
        <v>15000</v>
      </c>
    </row>
    <row r="38" spans="6:13" x14ac:dyDescent="0.3">
      <c r="F38" s="18">
        <v>45658</v>
      </c>
      <c r="G38" s="19" t="s">
        <v>19</v>
      </c>
      <c r="H38" s="19" t="s">
        <v>22</v>
      </c>
      <c r="I38" s="19" t="s">
        <v>151</v>
      </c>
      <c r="J38" s="19" t="s">
        <v>219</v>
      </c>
      <c r="K38" s="19">
        <v>2800</v>
      </c>
      <c r="L38" s="19">
        <v>5</v>
      </c>
      <c r="M38" s="19">
        <v>14000</v>
      </c>
    </row>
    <row r="39" spans="6:13" x14ac:dyDescent="0.3">
      <c r="F39" s="18">
        <v>45658</v>
      </c>
      <c r="G39" s="19" t="s">
        <v>19</v>
      </c>
      <c r="H39" s="19" t="s">
        <v>21</v>
      </c>
      <c r="I39" s="19" t="s">
        <v>150</v>
      </c>
      <c r="J39" s="19" t="s">
        <v>219</v>
      </c>
      <c r="K39" s="19">
        <v>3000</v>
      </c>
      <c r="L39" s="19">
        <v>4</v>
      </c>
      <c r="M39" s="19">
        <v>12000</v>
      </c>
    </row>
    <row r="40" spans="6:13" x14ac:dyDescent="0.3">
      <c r="F40" s="18">
        <v>45658</v>
      </c>
      <c r="G40" s="19" t="s">
        <v>19</v>
      </c>
      <c r="H40" s="19" t="s">
        <v>20</v>
      </c>
      <c r="I40" s="19" t="s">
        <v>149</v>
      </c>
      <c r="J40" s="19" t="s">
        <v>219</v>
      </c>
      <c r="K40" s="19">
        <v>6500</v>
      </c>
      <c r="L40" s="19">
        <v>4</v>
      </c>
      <c r="M40" s="19">
        <v>26000</v>
      </c>
    </row>
    <row r="41" spans="6:13" x14ac:dyDescent="0.3">
      <c r="F41" s="18">
        <v>45658</v>
      </c>
      <c r="G41" s="19" t="s">
        <v>19</v>
      </c>
      <c r="H41" s="19" t="s">
        <v>18</v>
      </c>
      <c r="I41" s="19" t="s">
        <v>148</v>
      </c>
      <c r="J41" s="19" t="s">
        <v>219</v>
      </c>
      <c r="K41" s="19">
        <v>1500</v>
      </c>
      <c r="L41" s="19">
        <v>6</v>
      </c>
      <c r="M41" s="19">
        <v>9000</v>
      </c>
    </row>
    <row r="42" spans="6:13" x14ac:dyDescent="0.3">
      <c r="F42" s="18">
        <v>45658</v>
      </c>
      <c r="G42" s="19" t="s">
        <v>10</v>
      </c>
      <c r="H42" s="19" t="s">
        <v>17</v>
      </c>
      <c r="I42" s="19" t="s">
        <v>147</v>
      </c>
      <c r="J42" s="19" t="s">
        <v>219</v>
      </c>
      <c r="K42" s="19">
        <v>3000</v>
      </c>
      <c r="L42" s="19">
        <v>2</v>
      </c>
      <c r="M42" s="19">
        <v>6000</v>
      </c>
    </row>
    <row r="43" spans="6:13" x14ac:dyDescent="0.3">
      <c r="F43" s="18">
        <v>45658</v>
      </c>
      <c r="G43" s="19" t="s">
        <v>10</v>
      </c>
      <c r="H43" s="19" t="s">
        <v>16</v>
      </c>
      <c r="I43" s="19" t="s">
        <v>146</v>
      </c>
      <c r="J43" s="19" t="s">
        <v>219</v>
      </c>
      <c r="K43" s="19">
        <v>2000</v>
      </c>
      <c r="L43" s="19">
        <v>12</v>
      </c>
      <c r="M43" s="19">
        <v>24000</v>
      </c>
    </row>
    <row r="44" spans="6:13" x14ac:dyDescent="0.3">
      <c r="F44" s="18">
        <v>45658</v>
      </c>
      <c r="G44" s="19" t="s">
        <v>10</v>
      </c>
      <c r="H44" s="19" t="s">
        <v>15</v>
      </c>
      <c r="I44" s="19" t="s">
        <v>145</v>
      </c>
      <c r="J44" s="19" t="s">
        <v>219</v>
      </c>
      <c r="K44" s="19">
        <v>7500</v>
      </c>
      <c r="L44" s="19">
        <v>10</v>
      </c>
      <c r="M44" s="19">
        <v>75000</v>
      </c>
    </row>
    <row r="45" spans="6:13" x14ac:dyDescent="0.3">
      <c r="F45" s="18">
        <v>45658</v>
      </c>
      <c r="G45" s="19" t="s">
        <v>10</v>
      </c>
      <c r="H45" s="19" t="s">
        <v>14</v>
      </c>
      <c r="I45" s="19" t="s">
        <v>144</v>
      </c>
      <c r="J45" s="19" t="s">
        <v>219</v>
      </c>
      <c r="K45" s="19">
        <v>10000</v>
      </c>
      <c r="L45" s="19">
        <v>4</v>
      </c>
      <c r="M45" s="19">
        <v>40000</v>
      </c>
    </row>
    <row r="46" spans="6:13" x14ac:dyDescent="0.3">
      <c r="F46" s="18">
        <v>45658</v>
      </c>
      <c r="G46" s="19" t="s">
        <v>10</v>
      </c>
      <c r="H46" s="19" t="s">
        <v>13</v>
      </c>
      <c r="I46" s="19" t="s">
        <v>143</v>
      </c>
      <c r="J46" s="19" t="s">
        <v>219</v>
      </c>
      <c r="K46" s="19">
        <v>4000</v>
      </c>
      <c r="L46" s="19">
        <v>5</v>
      </c>
      <c r="M46" s="19">
        <v>20000</v>
      </c>
    </row>
    <row r="47" spans="6:13" x14ac:dyDescent="0.3">
      <c r="F47" s="18">
        <v>45658</v>
      </c>
      <c r="G47" s="19" t="s">
        <v>10</v>
      </c>
      <c r="H47" s="19" t="s">
        <v>12</v>
      </c>
      <c r="I47" s="19" t="s">
        <v>142</v>
      </c>
      <c r="J47" s="19" t="s">
        <v>219</v>
      </c>
      <c r="K47" s="19">
        <v>2500</v>
      </c>
      <c r="L47" s="19">
        <v>6</v>
      </c>
      <c r="M47" s="19">
        <v>15000</v>
      </c>
    </row>
    <row r="48" spans="6:13" x14ac:dyDescent="0.3">
      <c r="F48" s="18">
        <v>45658</v>
      </c>
      <c r="G48" s="19" t="s">
        <v>10</v>
      </c>
      <c r="H48" s="19" t="s">
        <v>11</v>
      </c>
      <c r="I48" s="19" t="s">
        <v>141</v>
      </c>
      <c r="J48" s="19" t="s">
        <v>219</v>
      </c>
      <c r="K48" s="19">
        <v>3500</v>
      </c>
      <c r="L48" s="19">
        <v>4</v>
      </c>
      <c r="M48" s="19">
        <v>14000</v>
      </c>
    </row>
    <row r="49" spans="6:13" x14ac:dyDescent="0.3">
      <c r="F49" s="18">
        <v>45658</v>
      </c>
      <c r="G49" s="19" t="s">
        <v>10</v>
      </c>
      <c r="H49" s="19" t="s">
        <v>9</v>
      </c>
      <c r="I49" s="19" t="s">
        <v>140</v>
      </c>
      <c r="J49" s="19" t="s">
        <v>219</v>
      </c>
      <c r="K49" s="19">
        <v>1500</v>
      </c>
      <c r="L49" s="19">
        <v>12</v>
      </c>
      <c r="M49" s="19">
        <v>18000</v>
      </c>
    </row>
    <row r="50" spans="6:13" x14ac:dyDescent="0.3">
      <c r="F50" s="18">
        <v>45658</v>
      </c>
      <c r="G50" s="19" t="s">
        <v>4</v>
      </c>
      <c r="H50" s="19" t="s">
        <v>8</v>
      </c>
      <c r="I50" s="19" t="s">
        <v>139</v>
      </c>
      <c r="J50" s="19" t="s">
        <v>222</v>
      </c>
      <c r="K50" s="19">
        <v>3000</v>
      </c>
      <c r="L50" s="19">
        <v>4</v>
      </c>
      <c r="M50" s="19">
        <v>12000</v>
      </c>
    </row>
    <row r="51" spans="6:13" x14ac:dyDescent="0.3">
      <c r="F51" s="18">
        <v>45658</v>
      </c>
      <c r="G51" s="19" t="s">
        <v>4</v>
      </c>
      <c r="H51" s="19" t="s">
        <v>7</v>
      </c>
      <c r="I51" s="19" t="s">
        <v>138</v>
      </c>
      <c r="J51" s="19" t="s">
        <v>222</v>
      </c>
      <c r="K51" s="19">
        <v>3000</v>
      </c>
      <c r="L51" s="19">
        <v>6</v>
      </c>
      <c r="M51" s="19">
        <v>16000</v>
      </c>
    </row>
    <row r="52" spans="6:13" x14ac:dyDescent="0.3">
      <c r="F52" s="18">
        <v>45658</v>
      </c>
      <c r="G52" s="19" t="s">
        <v>4</v>
      </c>
      <c r="H52" s="19" t="s">
        <v>5</v>
      </c>
      <c r="I52" s="19" t="s">
        <v>136</v>
      </c>
      <c r="J52" s="19" t="s">
        <v>222</v>
      </c>
      <c r="K52" s="19">
        <v>2200</v>
      </c>
      <c r="L52" s="19">
        <v>5</v>
      </c>
      <c r="M52" s="19">
        <v>11000</v>
      </c>
    </row>
    <row r="53" spans="6:13" x14ac:dyDescent="0.3">
      <c r="F53" s="18">
        <v>45658</v>
      </c>
      <c r="G53" s="19" t="s">
        <v>4</v>
      </c>
      <c r="H53" s="19" t="s">
        <v>3</v>
      </c>
      <c r="I53" s="19" t="s">
        <v>135</v>
      </c>
      <c r="J53" s="19" t="s">
        <v>222</v>
      </c>
      <c r="K53" s="19">
        <v>3000</v>
      </c>
      <c r="L53" s="19">
        <v>5</v>
      </c>
      <c r="M53" s="19">
        <v>15000</v>
      </c>
    </row>
    <row r="54" spans="6:13" x14ac:dyDescent="0.3">
      <c r="F54" s="18">
        <v>45658</v>
      </c>
      <c r="G54" s="19" t="s">
        <v>4</v>
      </c>
      <c r="H54" s="19" t="s">
        <v>6</v>
      </c>
      <c r="I54" s="19" t="s">
        <v>137</v>
      </c>
      <c r="J54" s="19" t="s">
        <v>222</v>
      </c>
      <c r="K54" s="19">
        <v>3000</v>
      </c>
      <c r="L54" s="19">
        <v>10</v>
      </c>
      <c r="M54" s="19">
        <v>30000</v>
      </c>
    </row>
    <row r="55" spans="6:13" x14ac:dyDescent="0.3">
      <c r="F55" s="13"/>
      <c r="G55" s="14"/>
      <c r="H55" s="14"/>
      <c r="I55" s="14"/>
      <c r="J55" s="14"/>
      <c r="K55" s="14"/>
      <c r="L55" s="14"/>
      <c r="M55" s="14"/>
    </row>
    <row r="56" spans="6:13" x14ac:dyDescent="0.3">
      <c r="F56" s="13"/>
    </row>
    <row r="57" spans="6:13" x14ac:dyDescent="0.3">
      <c r="F57" s="13"/>
    </row>
    <row r="58" spans="6:13" x14ac:dyDescent="0.3">
      <c r="F58" s="13"/>
    </row>
    <row r="59" spans="6:13" x14ac:dyDescent="0.3">
      <c r="F59" s="13"/>
    </row>
    <row r="60" spans="6:13" x14ac:dyDescent="0.3">
      <c r="F60" s="13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93FB6-9B2E-4F5D-969D-005586D55A08}">
  <sheetPr codeName="Sheet5"/>
  <dimension ref="F7:M53"/>
  <sheetViews>
    <sheetView workbookViewId="0">
      <selection activeCell="K8" sqref="K8"/>
    </sheetView>
  </sheetViews>
  <sheetFormatPr defaultRowHeight="14.4" x14ac:dyDescent="0.3"/>
  <cols>
    <col min="1" max="5" width="8.88671875" style="1"/>
    <col min="6" max="6" width="11.6640625" style="1" bestFit="1" customWidth="1"/>
    <col min="7" max="7" width="18.88671875" style="1" bestFit="1" customWidth="1"/>
    <col min="8" max="8" width="7.5546875" style="1" bestFit="1" customWidth="1"/>
    <col min="9" max="9" width="15.77734375" style="1" bestFit="1" customWidth="1"/>
    <col min="10" max="10" width="12.21875" style="1" bestFit="1" customWidth="1"/>
    <col min="11" max="11" width="7.88671875" style="1" bestFit="1" customWidth="1"/>
    <col min="12" max="12" width="15.33203125" style="1" bestFit="1" customWidth="1"/>
    <col min="13" max="13" width="29.5546875" style="1" bestFit="1" customWidth="1"/>
    <col min="14" max="16384" width="8.88671875" style="1"/>
  </cols>
  <sheetData>
    <row r="7" spans="6:13" x14ac:dyDescent="0.3">
      <c r="F7" s="5" t="s">
        <v>0</v>
      </c>
      <c r="G7" s="5" t="s">
        <v>1</v>
      </c>
      <c r="H7" s="5" t="s">
        <v>57</v>
      </c>
      <c r="I7" s="5" t="s">
        <v>231</v>
      </c>
      <c r="J7" s="5" t="s">
        <v>232</v>
      </c>
      <c r="K7" s="5" t="s">
        <v>233</v>
      </c>
      <c r="L7" s="5" t="s">
        <v>234</v>
      </c>
      <c r="M7" s="5" t="s">
        <v>255</v>
      </c>
    </row>
    <row r="8" spans="6:13" x14ac:dyDescent="0.3">
      <c r="F8" s="1" t="s">
        <v>135</v>
      </c>
      <c r="G8" s="1" t="s">
        <v>3</v>
      </c>
      <c r="H8" s="8">
        <v>3000</v>
      </c>
      <c r="I8" s="1">
        <f>SUMIF(Purchase_Entry[Product],Inventory[[#This Row],[Product]],Purchase_Entry[Quantity])</f>
        <v>5</v>
      </c>
      <c r="J8" s="1">
        <f>SUMIF(Orders[Product],Inventory[[#This Row],[Product]],Orders[Quantity])</f>
        <v>3</v>
      </c>
      <c r="K8" s="1">
        <f>Inventory[[#This Row],[Purchase Units]]-Inventory[[#This Row],[Sales Units]]</f>
        <v>2</v>
      </c>
      <c r="L8" s="25">
        <f>Inventory[[#This Row],[Cost]]*Inventory[[#This Row],[Stock]]</f>
        <v>6000</v>
      </c>
      <c r="M8" s="1" t="str">
        <f>IF(Inventory[[#This Row],[Stock]]=0, "Out of Stock", IF(Inventory[[#This Row],[Stock]]&lt;=2, "Low Stock", "In Stock"))</f>
        <v>Low Stock</v>
      </c>
    </row>
    <row r="9" spans="6:13" x14ac:dyDescent="0.3">
      <c r="F9" s="1" t="s">
        <v>136</v>
      </c>
      <c r="G9" s="1" t="s">
        <v>5</v>
      </c>
      <c r="H9" s="8">
        <v>2200</v>
      </c>
      <c r="I9" s="1">
        <f>SUMIF(Purchase_Entry[Product],Inventory[[#This Row],[Product]],Purchase_Entry[Quantity])</f>
        <v>5</v>
      </c>
      <c r="J9" s="1">
        <f>SUMIF(Orders[Product],Inventory[[#This Row],[Product]],Orders[Quantity])</f>
        <v>4</v>
      </c>
      <c r="K9" s="1">
        <f>Inventory[[#This Row],[Purchase Units]]-Inventory[[#This Row],[Sales Units]]</f>
        <v>1</v>
      </c>
      <c r="L9" s="25">
        <f>Inventory[[#This Row],[Cost]]*Inventory[[#This Row],[Stock]]</f>
        <v>2200</v>
      </c>
      <c r="M9" s="1" t="str">
        <f>IF(Inventory[[#This Row],[Stock]]=0, "Out of Stock", IF(Inventory[[#This Row],[Stock]]&lt;=2, "Low Stock", "In Stock"))</f>
        <v>Low Stock</v>
      </c>
    </row>
    <row r="10" spans="6:13" x14ac:dyDescent="0.3">
      <c r="F10" s="1" t="s">
        <v>137</v>
      </c>
      <c r="G10" s="1" t="s">
        <v>6</v>
      </c>
      <c r="H10" s="8">
        <v>3000</v>
      </c>
      <c r="I10" s="1">
        <f>SUMIF(Purchase_Entry[Product],Inventory[[#This Row],[Product]],Purchase_Entry[Quantity])</f>
        <v>10</v>
      </c>
      <c r="J10" s="1">
        <f>SUMIF(Orders[Product],Inventory[[#This Row],[Product]],Orders[Quantity])</f>
        <v>9</v>
      </c>
      <c r="K10" s="1">
        <f>Inventory[[#This Row],[Purchase Units]]-Inventory[[#This Row],[Sales Units]]</f>
        <v>1</v>
      </c>
      <c r="L10" s="25">
        <f>Inventory[[#This Row],[Cost]]*Inventory[[#This Row],[Stock]]</f>
        <v>3000</v>
      </c>
      <c r="M10" s="1" t="str">
        <f>IF(Inventory[[#This Row],[Stock]]=0, "Out of Stock", IF(Inventory[[#This Row],[Stock]]&lt;=2, "Low Stock", "In Stock"))</f>
        <v>Low Stock</v>
      </c>
    </row>
    <row r="11" spans="6:13" x14ac:dyDescent="0.3">
      <c r="F11" s="1" t="s">
        <v>138</v>
      </c>
      <c r="G11" s="1" t="s">
        <v>7</v>
      </c>
      <c r="H11" s="8">
        <v>3000</v>
      </c>
      <c r="I11" s="1">
        <f>SUMIF(Purchase_Entry[Product],Inventory[[#This Row],[Product]],Purchase_Entry[Quantity])</f>
        <v>6</v>
      </c>
      <c r="J11" s="1">
        <f>SUMIF(Orders[Product],Inventory[[#This Row],[Product]],Orders[Quantity])</f>
        <v>5</v>
      </c>
      <c r="K11" s="1">
        <f>Inventory[[#This Row],[Purchase Units]]-Inventory[[#This Row],[Sales Units]]</f>
        <v>1</v>
      </c>
      <c r="L11" s="25">
        <f>Inventory[[#This Row],[Cost]]*Inventory[[#This Row],[Stock]]</f>
        <v>3000</v>
      </c>
      <c r="M11" s="1" t="str">
        <f>IF(Inventory[[#This Row],[Stock]]=0, "Out of Stock", IF(Inventory[[#This Row],[Stock]]&lt;=2, "Low Stock", "In Stock"))</f>
        <v>Low Stock</v>
      </c>
    </row>
    <row r="12" spans="6:13" x14ac:dyDescent="0.3">
      <c r="F12" s="1" t="s">
        <v>139</v>
      </c>
      <c r="G12" s="1" t="s">
        <v>8</v>
      </c>
      <c r="H12" s="8">
        <v>3000</v>
      </c>
      <c r="I12" s="1">
        <f>SUMIF(Purchase_Entry[Product],Inventory[[#This Row],[Product]],Purchase_Entry[Quantity])</f>
        <v>4</v>
      </c>
      <c r="J12" s="1">
        <f>SUMIF(Orders[Product],Inventory[[#This Row],[Product]],Orders[Quantity])</f>
        <v>2</v>
      </c>
      <c r="K12" s="1">
        <f>Inventory[[#This Row],[Purchase Units]]-Inventory[[#This Row],[Sales Units]]</f>
        <v>2</v>
      </c>
      <c r="L12" s="25">
        <f>Inventory[[#This Row],[Cost]]*Inventory[[#This Row],[Stock]]</f>
        <v>6000</v>
      </c>
      <c r="M12" s="1" t="str">
        <f>IF(Inventory[[#This Row],[Stock]]=0, "Out of Stock", IF(Inventory[[#This Row],[Stock]]&lt;=2, "Low Stock", "In Stock"))</f>
        <v>Low Stock</v>
      </c>
    </row>
    <row r="13" spans="6:13" x14ac:dyDescent="0.3">
      <c r="F13" s="1" t="s">
        <v>140</v>
      </c>
      <c r="G13" s="1" t="s">
        <v>9</v>
      </c>
      <c r="H13" s="8">
        <v>1500</v>
      </c>
      <c r="I13" s="1">
        <f>SUMIF(Purchase_Entry[Product],Inventory[[#This Row],[Product]],Purchase_Entry[Quantity])</f>
        <v>12</v>
      </c>
      <c r="J13" s="1">
        <f>SUMIF(Orders[Product],Inventory[[#This Row],[Product]],Orders[Quantity])</f>
        <v>6</v>
      </c>
      <c r="K13" s="1">
        <f>Inventory[[#This Row],[Purchase Units]]-Inventory[[#This Row],[Sales Units]]</f>
        <v>6</v>
      </c>
      <c r="L13" s="25">
        <f>Inventory[[#This Row],[Cost]]*Inventory[[#This Row],[Stock]]</f>
        <v>9000</v>
      </c>
      <c r="M13" s="1" t="str">
        <f>IF(Inventory[[#This Row],[Stock]]=0, "Out of Stock", IF(Inventory[[#This Row],[Stock]]&lt;=2, "Low Stock", "In Stock"))</f>
        <v>In Stock</v>
      </c>
    </row>
    <row r="14" spans="6:13" x14ac:dyDescent="0.3">
      <c r="F14" s="1" t="s">
        <v>141</v>
      </c>
      <c r="G14" s="1" t="s">
        <v>11</v>
      </c>
      <c r="H14" s="8">
        <v>3500</v>
      </c>
      <c r="I14" s="1">
        <f>SUMIF(Purchase_Entry[Product],Inventory[[#This Row],[Product]],Purchase_Entry[Quantity])</f>
        <v>4</v>
      </c>
      <c r="J14" s="1">
        <f>SUMIF(Orders[Product],Inventory[[#This Row],[Product]],Orders[Quantity])</f>
        <v>1</v>
      </c>
      <c r="K14" s="1">
        <f>Inventory[[#This Row],[Purchase Units]]-Inventory[[#This Row],[Sales Units]]</f>
        <v>3</v>
      </c>
      <c r="L14" s="25">
        <f>Inventory[[#This Row],[Cost]]*Inventory[[#This Row],[Stock]]</f>
        <v>10500</v>
      </c>
      <c r="M14" s="1" t="str">
        <f>IF(Inventory[[#This Row],[Stock]]=0, "Out of Stock", IF(Inventory[[#This Row],[Stock]]&lt;=2, "Low Stock", "In Stock"))</f>
        <v>In Stock</v>
      </c>
    </row>
    <row r="15" spans="6:13" x14ac:dyDescent="0.3">
      <c r="F15" s="1" t="s">
        <v>142</v>
      </c>
      <c r="G15" s="1" t="s">
        <v>12</v>
      </c>
      <c r="H15" s="8">
        <v>2500</v>
      </c>
      <c r="I15" s="1">
        <f>SUMIF(Purchase_Entry[Product],Inventory[[#This Row],[Product]],Purchase_Entry[Quantity])</f>
        <v>6</v>
      </c>
      <c r="J15" s="1">
        <f>SUMIF(Orders[Product],Inventory[[#This Row],[Product]],Orders[Quantity])</f>
        <v>3</v>
      </c>
      <c r="K15" s="1">
        <f>Inventory[[#This Row],[Purchase Units]]-Inventory[[#This Row],[Sales Units]]</f>
        <v>3</v>
      </c>
      <c r="L15" s="25">
        <f>Inventory[[#This Row],[Cost]]*Inventory[[#This Row],[Stock]]</f>
        <v>7500</v>
      </c>
      <c r="M15" s="1" t="str">
        <f>IF(Inventory[[#This Row],[Stock]]=0, "Out of Stock", IF(Inventory[[#This Row],[Stock]]&lt;=2, "Low Stock", "In Stock"))</f>
        <v>In Stock</v>
      </c>
    </row>
    <row r="16" spans="6:13" x14ac:dyDescent="0.3">
      <c r="F16" s="1" t="s">
        <v>143</v>
      </c>
      <c r="G16" s="1" t="s">
        <v>13</v>
      </c>
      <c r="H16" s="8">
        <v>4000</v>
      </c>
      <c r="I16" s="1">
        <f>SUMIF(Purchase_Entry[Product],Inventory[[#This Row],[Product]],Purchase_Entry[Quantity])</f>
        <v>5</v>
      </c>
      <c r="J16" s="1">
        <f>SUMIF(Orders[Product],Inventory[[#This Row],[Product]],Orders[Quantity])</f>
        <v>3</v>
      </c>
      <c r="K16" s="1">
        <f>Inventory[[#This Row],[Purchase Units]]-Inventory[[#This Row],[Sales Units]]</f>
        <v>2</v>
      </c>
      <c r="L16" s="25">
        <f>Inventory[[#This Row],[Cost]]*Inventory[[#This Row],[Stock]]</f>
        <v>8000</v>
      </c>
      <c r="M16" s="1" t="str">
        <f>IF(Inventory[[#This Row],[Stock]]=0, "Out of Stock", IF(Inventory[[#This Row],[Stock]]&lt;=2, "Low Stock", "In Stock"))</f>
        <v>Low Stock</v>
      </c>
    </row>
    <row r="17" spans="6:13" x14ac:dyDescent="0.3">
      <c r="F17" s="1" t="s">
        <v>144</v>
      </c>
      <c r="G17" s="1" t="s">
        <v>14</v>
      </c>
      <c r="H17" s="8">
        <v>10000</v>
      </c>
      <c r="I17" s="1">
        <f>SUMIF(Purchase_Entry[Product],Inventory[[#This Row],[Product]],Purchase_Entry[Quantity])</f>
        <v>4</v>
      </c>
      <c r="J17" s="1">
        <f>SUMIF(Orders[Product],Inventory[[#This Row],[Product]],Orders[Quantity])</f>
        <v>3</v>
      </c>
      <c r="K17" s="1">
        <f>Inventory[[#This Row],[Purchase Units]]-Inventory[[#This Row],[Sales Units]]</f>
        <v>1</v>
      </c>
      <c r="L17" s="25">
        <f>Inventory[[#This Row],[Cost]]*Inventory[[#This Row],[Stock]]</f>
        <v>10000</v>
      </c>
      <c r="M17" s="1" t="str">
        <f>IF(Inventory[[#This Row],[Stock]]=0, "Out of Stock", IF(Inventory[[#This Row],[Stock]]&lt;=2, "Low Stock", "In Stock"))</f>
        <v>Low Stock</v>
      </c>
    </row>
    <row r="18" spans="6:13" x14ac:dyDescent="0.3">
      <c r="F18" s="1" t="s">
        <v>145</v>
      </c>
      <c r="G18" s="1" t="s">
        <v>15</v>
      </c>
      <c r="H18" s="8">
        <v>7500</v>
      </c>
      <c r="I18" s="1">
        <f>SUMIF(Purchase_Entry[Product],Inventory[[#This Row],[Product]],Purchase_Entry[Quantity])</f>
        <v>10</v>
      </c>
      <c r="J18" s="1">
        <f>SUMIF(Orders[Product],Inventory[[#This Row],[Product]],Orders[Quantity])</f>
        <v>4</v>
      </c>
      <c r="K18" s="1">
        <f>Inventory[[#This Row],[Purchase Units]]-Inventory[[#This Row],[Sales Units]]</f>
        <v>6</v>
      </c>
      <c r="L18" s="25">
        <f>Inventory[[#This Row],[Cost]]*Inventory[[#This Row],[Stock]]</f>
        <v>45000</v>
      </c>
      <c r="M18" s="1" t="str">
        <f>IF(Inventory[[#This Row],[Stock]]=0, "Out of Stock", IF(Inventory[[#This Row],[Stock]]&lt;=2, "Low Stock", "In Stock"))</f>
        <v>In Stock</v>
      </c>
    </row>
    <row r="19" spans="6:13" x14ac:dyDescent="0.3">
      <c r="F19" s="1" t="s">
        <v>146</v>
      </c>
      <c r="G19" s="1" t="s">
        <v>16</v>
      </c>
      <c r="H19" s="8">
        <v>2000</v>
      </c>
      <c r="I19" s="1">
        <f>SUMIF(Purchase_Entry[Product],Inventory[[#This Row],[Product]],Purchase_Entry[Quantity])</f>
        <v>12</v>
      </c>
      <c r="J19" s="1">
        <f>SUMIF(Orders[Product],Inventory[[#This Row],[Product]],Orders[Quantity])</f>
        <v>9</v>
      </c>
      <c r="K19" s="1">
        <f>Inventory[[#This Row],[Purchase Units]]-Inventory[[#This Row],[Sales Units]]</f>
        <v>3</v>
      </c>
      <c r="L19" s="25">
        <f>Inventory[[#This Row],[Cost]]*Inventory[[#This Row],[Stock]]</f>
        <v>6000</v>
      </c>
      <c r="M19" s="1" t="str">
        <f>IF(Inventory[[#This Row],[Stock]]=0, "Out of Stock", IF(Inventory[[#This Row],[Stock]]&lt;=2, "Low Stock", "In Stock"))</f>
        <v>In Stock</v>
      </c>
    </row>
    <row r="20" spans="6:13" x14ac:dyDescent="0.3">
      <c r="F20" s="1" t="s">
        <v>147</v>
      </c>
      <c r="G20" s="1" t="s">
        <v>17</v>
      </c>
      <c r="H20" s="8">
        <v>3000</v>
      </c>
      <c r="I20" s="1">
        <f>SUMIF(Purchase_Entry[Product],Inventory[[#This Row],[Product]],Purchase_Entry[Quantity])</f>
        <v>2</v>
      </c>
      <c r="J20" s="1">
        <f>SUMIF(Orders[Product],Inventory[[#This Row],[Product]],Orders[Quantity])</f>
        <v>2</v>
      </c>
      <c r="K20" s="1">
        <f>Inventory[[#This Row],[Purchase Units]]-Inventory[[#This Row],[Sales Units]]</f>
        <v>0</v>
      </c>
      <c r="L20" s="25">
        <f>Inventory[[#This Row],[Cost]]*Inventory[[#This Row],[Stock]]</f>
        <v>0</v>
      </c>
      <c r="M20" s="1" t="str">
        <f>IF(Inventory[[#This Row],[Stock]]=0, "Out of Stock", IF(Inventory[[#This Row],[Stock]]&lt;=2, "Low Stock", "In Stock"))</f>
        <v>Out of Stock</v>
      </c>
    </row>
    <row r="21" spans="6:13" x14ac:dyDescent="0.3">
      <c r="F21" s="1" t="s">
        <v>148</v>
      </c>
      <c r="G21" s="1" t="s">
        <v>18</v>
      </c>
      <c r="H21" s="8">
        <v>1500</v>
      </c>
      <c r="I21" s="1">
        <f>SUMIF(Purchase_Entry[Product],Inventory[[#This Row],[Product]],Purchase_Entry[Quantity])</f>
        <v>6</v>
      </c>
      <c r="J21" s="1">
        <f>SUMIF(Orders[Product],Inventory[[#This Row],[Product]],Orders[Quantity])</f>
        <v>1</v>
      </c>
      <c r="K21" s="1">
        <f>Inventory[[#This Row],[Purchase Units]]-Inventory[[#This Row],[Sales Units]]</f>
        <v>5</v>
      </c>
      <c r="L21" s="25">
        <f>Inventory[[#This Row],[Cost]]*Inventory[[#This Row],[Stock]]</f>
        <v>7500</v>
      </c>
      <c r="M21" s="1" t="str">
        <f>IF(Inventory[[#This Row],[Stock]]=0, "Out of Stock", IF(Inventory[[#This Row],[Stock]]&lt;=2, "Low Stock", "In Stock"))</f>
        <v>In Stock</v>
      </c>
    </row>
    <row r="22" spans="6:13" x14ac:dyDescent="0.3">
      <c r="F22" s="1" t="s">
        <v>149</v>
      </c>
      <c r="G22" s="1" t="s">
        <v>20</v>
      </c>
      <c r="H22" s="8">
        <v>6500</v>
      </c>
      <c r="I22" s="1">
        <f>SUMIF(Purchase_Entry[Product],Inventory[[#This Row],[Product]],Purchase_Entry[Quantity])</f>
        <v>4</v>
      </c>
      <c r="J22" s="1">
        <f>SUMIF(Orders[Product],Inventory[[#This Row],[Product]],Orders[Quantity])</f>
        <v>2</v>
      </c>
      <c r="K22" s="1">
        <f>Inventory[[#This Row],[Purchase Units]]-Inventory[[#This Row],[Sales Units]]</f>
        <v>2</v>
      </c>
      <c r="L22" s="25">
        <f>Inventory[[#This Row],[Cost]]*Inventory[[#This Row],[Stock]]</f>
        <v>13000</v>
      </c>
      <c r="M22" s="1" t="str">
        <f>IF(Inventory[[#This Row],[Stock]]=0, "Out of Stock", IF(Inventory[[#This Row],[Stock]]&lt;=2, "Low Stock", "In Stock"))</f>
        <v>Low Stock</v>
      </c>
    </row>
    <row r="23" spans="6:13" x14ac:dyDescent="0.3">
      <c r="F23" s="1" t="s">
        <v>150</v>
      </c>
      <c r="G23" s="1" t="s">
        <v>21</v>
      </c>
      <c r="H23" s="8">
        <v>3000</v>
      </c>
      <c r="I23" s="1">
        <f>SUMIF(Purchase_Entry[Product],Inventory[[#This Row],[Product]],Purchase_Entry[Quantity])</f>
        <v>4</v>
      </c>
      <c r="J23" s="1">
        <f>SUMIF(Orders[Product],Inventory[[#This Row],[Product]],Orders[Quantity])</f>
        <v>5</v>
      </c>
      <c r="K23" s="1">
        <f>Inventory[[#This Row],[Purchase Units]]-Inventory[[#This Row],[Sales Units]]</f>
        <v>-1</v>
      </c>
      <c r="L23" s="25">
        <f>Inventory[[#This Row],[Cost]]*Inventory[[#This Row],[Stock]]</f>
        <v>-3000</v>
      </c>
      <c r="M23" s="1" t="str">
        <f>IF(Inventory[[#This Row],[Stock]]=0, "Out of Stock", IF(Inventory[[#This Row],[Stock]]&lt;=2, "Low Stock", "In Stock"))</f>
        <v>Low Stock</v>
      </c>
    </row>
    <row r="24" spans="6:13" x14ac:dyDescent="0.3">
      <c r="F24" s="1" t="s">
        <v>151</v>
      </c>
      <c r="G24" s="1" t="s">
        <v>22</v>
      </c>
      <c r="H24" s="8">
        <v>2800</v>
      </c>
      <c r="I24" s="1">
        <f>SUMIF(Purchase_Entry[Product],Inventory[[#This Row],[Product]],Purchase_Entry[Quantity])</f>
        <v>5</v>
      </c>
      <c r="J24" s="1">
        <f>SUMIF(Orders[Product],Inventory[[#This Row],[Product]],Orders[Quantity])</f>
        <v>1</v>
      </c>
      <c r="K24" s="1">
        <f>Inventory[[#This Row],[Purchase Units]]-Inventory[[#This Row],[Sales Units]]</f>
        <v>4</v>
      </c>
      <c r="L24" s="25">
        <f>Inventory[[#This Row],[Cost]]*Inventory[[#This Row],[Stock]]</f>
        <v>11200</v>
      </c>
      <c r="M24" s="1" t="str">
        <f>IF(Inventory[[#This Row],[Stock]]=0, "Out of Stock", IF(Inventory[[#This Row],[Stock]]&lt;=2, "Low Stock", "In Stock"))</f>
        <v>In Stock</v>
      </c>
    </row>
    <row r="25" spans="6:13" x14ac:dyDescent="0.3">
      <c r="F25" s="1" t="s">
        <v>152</v>
      </c>
      <c r="G25" s="1" t="s">
        <v>23</v>
      </c>
      <c r="H25" s="8">
        <v>5000</v>
      </c>
      <c r="I25" s="1">
        <f>SUMIF(Purchase_Entry[Product],Inventory[[#This Row],[Product]],Purchase_Entry[Quantity])</f>
        <v>3</v>
      </c>
      <c r="J25" s="1">
        <f>SUMIF(Orders[Product],Inventory[[#This Row],[Product]],Orders[Quantity])</f>
        <v>3</v>
      </c>
      <c r="K25" s="1">
        <f>Inventory[[#This Row],[Purchase Units]]-Inventory[[#This Row],[Sales Units]]</f>
        <v>0</v>
      </c>
      <c r="L25" s="25">
        <f>Inventory[[#This Row],[Cost]]*Inventory[[#This Row],[Stock]]</f>
        <v>0</v>
      </c>
      <c r="M25" s="1" t="str">
        <f>IF(Inventory[[#This Row],[Stock]]=0, "Out of Stock", IF(Inventory[[#This Row],[Stock]]&lt;=2, "Low Stock", "In Stock"))</f>
        <v>Out of Stock</v>
      </c>
    </row>
    <row r="26" spans="6:13" x14ac:dyDescent="0.3">
      <c r="F26" s="1" t="s">
        <v>153</v>
      </c>
      <c r="G26" s="1" t="s">
        <v>25</v>
      </c>
      <c r="H26" s="8">
        <v>2800</v>
      </c>
      <c r="I26" s="1">
        <f>SUMIF(Purchase_Entry[Product],Inventory[[#This Row],[Product]],Purchase_Entry[Quantity])</f>
        <v>8</v>
      </c>
      <c r="J26" s="1">
        <f>SUMIF(Orders[Product],Inventory[[#This Row],[Product]],Orders[Quantity])</f>
        <v>4</v>
      </c>
      <c r="K26" s="1">
        <f>Inventory[[#This Row],[Purchase Units]]-Inventory[[#This Row],[Sales Units]]</f>
        <v>4</v>
      </c>
      <c r="L26" s="25">
        <f>Inventory[[#This Row],[Cost]]*Inventory[[#This Row],[Stock]]</f>
        <v>11200</v>
      </c>
      <c r="M26" s="1" t="str">
        <f>IF(Inventory[[#This Row],[Stock]]=0, "Out of Stock", IF(Inventory[[#This Row],[Stock]]&lt;=2, "Low Stock", "In Stock"))</f>
        <v>In Stock</v>
      </c>
    </row>
    <row r="27" spans="6:13" x14ac:dyDescent="0.3">
      <c r="F27" s="1" t="s">
        <v>154</v>
      </c>
      <c r="G27" s="1" t="s">
        <v>26</v>
      </c>
      <c r="H27" s="8">
        <v>4500</v>
      </c>
      <c r="I27" s="1">
        <f>SUMIF(Purchase_Entry[Product],Inventory[[#This Row],[Product]],Purchase_Entry[Quantity])</f>
        <v>2</v>
      </c>
      <c r="J27" s="1">
        <f>SUMIF(Orders[Product],Inventory[[#This Row],[Product]],Orders[Quantity])</f>
        <v>1</v>
      </c>
      <c r="K27" s="1">
        <f>Inventory[[#This Row],[Purchase Units]]-Inventory[[#This Row],[Sales Units]]</f>
        <v>1</v>
      </c>
      <c r="L27" s="25">
        <f>Inventory[[#This Row],[Cost]]*Inventory[[#This Row],[Stock]]</f>
        <v>4500</v>
      </c>
      <c r="M27" s="1" t="str">
        <f>IF(Inventory[[#This Row],[Stock]]=0, "Out of Stock", IF(Inventory[[#This Row],[Stock]]&lt;=2, "Low Stock", "In Stock"))</f>
        <v>Low Stock</v>
      </c>
    </row>
    <row r="28" spans="6:13" x14ac:dyDescent="0.3">
      <c r="F28" s="1" t="s">
        <v>155</v>
      </c>
      <c r="G28" s="1" t="s">
        <v>27</v>
      </c>
      <c r="H28" s="8">
        <v>1300</v>
      </c>
      <c r="I28" s="1">
        <f>SUMIF(Purchase_Entry[Product],Inventory[[#This Row],[Product]],Purchase_Entry[Quantity])</f>
        <v>12</v>
      </c>
      <c r="J28" s="1">
        <f>SUMIF(Orders[Product],Inventory[[#This Row],[Product]],Orders[Quantity])</f>
        <v>6</v>
      </c>
      <c r="K28" s="1">
        <f>Inventory[[#This Row],[Purchase Units]]-Inventory[[#This Row],[Sales Units]]</f>
        <v>6</v>
      </c>
      <c r="L28" s="25">
        <f>Inventory[[#This Row],[Cost]]*Inventory[[#This Row],[Stock]]</f>
        <v>7800</v>
      </c>
      <c r="M28" s="1" t="str">
        <f>IF(Inventory[[#This Row],[Stock]]=0, "Out of Stock", IF(Inventory[[#This Row],[Stock]]&lt;=2, "Low Stock", "In Stock"))</f>
        <v>In Stock</v>
      </c>
    </row>
    <row r="29" spans="6:13" x14ac:dyDescent="0.3">
      <c r="F29" s="1" t="s">
        <v>156</v>
      </c>
      <c r="G29" s="1" t="s">
        <v>29</v>
      </c>
      <c r="H29" s="8">
        <v>3200</v>
      </c>
      <c r="I29" s="1">
        <f>SUMIF(Purchase_Entry[Product],Inventory[[#This Row],[Product]],Purchase_Entry[Quantity])</f>
        <v>3</v>
      </c>
      <c r="J29" s="1">
        <f>SUMIF(Orders[Product],Inventory[[#This Row],[Product]],Orders[Quantity])</f>
        <v>3</v>
      </c>
      <c r="K29" s="1">
        <f>Inventory[[#This Row],[Purchase Units]]-Inventory[[#This Row],[Sales Units]]</f>
        <v>0</v>
      </c>
      <c r="L29" s="25">
        <f>Inventory[[#This Row],[Cost]]*Inventory[[#This Row],[Stock]]</f>
        <v>0</v>
      </c>
      <c r="M29" s="1" t="str">
        <f>IF(Inventory[[#This Row],[Stock]]=0, "Out of Stock", IF(Inventory[[#This Row],[Stock]]&lt;=2, "Low Stock", "In Stock"))</f>
        <v>Out of Stock</v>
      </c>
    </row>
    <row r="30" spans="6:13" x14ac:dyDescent="0.3">
      <c r="F30" s="1" t="s">
        <v>157</v>
      </c>
      <c r="G30" s="1" t="s">
        <v>30</v>
      </c>
      <c r="H30" s="8">
        <v>2000</v>
      </c>
      <c r="I30" s="1">
        <f>SUMIF(Purchase_Entry[Product],Inventory[[#This Row],[Product]],Purchase_Entry[Quantity])</f>
        <v>3</v>
      </c>
      <c r="J30" s="1">
        <f>SUMIF(Orders[Product],Inventory[[#This Row],[Product]],Orders[Quantity])</f>
        <v>2</v>
      </c>
      <c r="K30" s="1">
        <f>Inventory[[#This Row],[Purchase Units]]-Inventory[[#This Row],[Sales Units]]</f>
        <v>1</v>
      </c>
      <c r="L30" s="25">
        <f>Inventory[[#This Row],[Cost]]*Inventory[[#This Row],[Stock]]</f>
        <v>2000</v>
      </c>
      <c r="M30" s="1" t="str">
        <f>IF(Inventory[[#This Row],[Stock]]=0, "Out of Stock", IF(Inventory[[#This Row],[Stock]]&lt;=2, "Low Stock", "In Stock"))</f>
        <v>Low Stock</v>
      </c>
    </row>
    <row r="31" spans="6:13" x14ac:dyDescent="0.3">
      <c r="F31" s="1" t="s">
        <v>158</v>
      </c>
      <c r="G31" s="1" t="s">
        <v>31</v>
      </c>
      <c r="H31" s="8">
        <v>2800</v>
      </c>
      <c r="I31" s="1">
        <f>SUMIF(Purchase_Entry[Product],Inventory[[#This Row],[Product]],Purchase_Entry[Quantity])</f>
        <v>5</v>
      </c>
      <c r="J31" s="1">
        <f>SUMIF(Orders[Product],Inventory[[#This Row],[Product]],Orders[Quantity])</f>
        <v>2</v>
      </c>
      <c r="K31" s="1">
        <f>Inventory[[#This Row],[Purchase Units]]-Inventory[[#This Row],[Sales Units]]</f>
        <v>3</v>
      </c>
      <c r="L31" s="25">
        <f>Inventory[[#This Row],[Cost]]*Inventory[[#This Row],[Stock]]</f>
        <v>8400</v>
      </c>
      <c r="M31" s="1" t="str">
        <f>IF(Inventory[[#This Row],[Stock]]=0, "Out of Stock", IF(Inventory[[#This Row],[Stock]]&lt;=2, "Low Stock", "In Stock"))</f>
        <v>In Stock</v>
      </c>
    </row>
    <row r="32" spans="6:13" x14ac:dyDescent="0.3">
      <c r="F32" s="1" t="s">
        <v>159</v>
      </c>
      <c r="G32" s="1" t="s">
        <v>32</v>
      </c>
      <c r="H32" s="8">
        <v>2500</v>
      </c>
      <c r="I32" s="1">
        <f>SUMIF(Purchase_Entry[Product],Inventory[[#This Row],[Product]],Purchase_Entry[Quantity])</f>
        <v>12</v>
      </c>
      <c r="J32" s="1">
        <f>SUMIF(Orders[Product],Inventory[[#This Row],[Product]],Orders[Quantity])</f>
        <v>10</v>
      </c>
      <c r="K32" s="1">
        <f>Inventory[[#This Row],[Purchase Units]]-Inventory[[#This Row],[Sales Units]]</f>
        <v>2</v>
      </c>
      <c r="L32" s="25">
        <f>Inventory[[#This Row],[Cost]]*Inventory[[#This Row],[Stock]]</f>
        <v>5000</v>
      </c>
      <c r="M32" s="1" t="str">
        <f>IF(Inventory[[#This Row],[Stock]]=0, "Out of Stock", IF(Inventory[[#This Row],[Stock]]&lt;=2, "Low Stock", "In Stock"))</f>
        <v>Low Stock</v>
      </c>
    </row>
    <row r="33" spans="6:13" x14ac:dyDescent="0.3">
      <c r="F33" s="1" t="s">
        <v>160</v>
      </c>
      <c r="G33" s="1" t="s">
        <v>33</v>
      </c>
      <c r="H33" s="8">
        <v>3000</v>
      </c>
      <c r="I33" s="1">
        <f>SUMIF(Purchase_Entry[Product],Inventory[[#This Row],[Product]],Purchase_Entry[Quantity])</f>
        <v>3</v>
      </c>
      <c r="J33" s="1">
        <f>SUMIF(Orders[Product],Inventory[[#This Row],[Product]],Orders[Quantity])</f>
        <v>1</v>
      </c>
      <c r="K33" s="1">
        <f>Inventory[[#This Row],[Purchase Units]]-Inventory[[#This Row],[Sales Units]]</f>
        <v>2</v>
      </c>
      <c r="L33" s="25">
        <f>Inventory[[#This Row],[Cost]]*Inventory[[#This Row],[Stock]]</f>
        <v>6000</v>
      </c>
      <c r="M33" s="1" t="str">
        <f>IF(Inventory[[#This Row],[Stock]]=0, "Out of Stock", IF(Inventory[[#This Row],[Stock]]&lt;=2, "Low Stock", "In Stock"))</f>
        <v>Low Stock</v>
      </c>
    </row>
    <row r="34" spans="6:13" x14ac:dyDescent="0.3">
      <c r="F34" s="1" t="s">
        <v>161</v>
      </c>
      <c r="G34" s="1" t="s">
        <v>34</v>
      </c>
      <c r="H34" s="8">
        <v>3500</v>
      </c>
      <c r="I34" s="1">
        <f>SUMIF(Purchase_Entry[Product],Inventory[[#This Row],[Product]],Purchase_Entry[Quantity])</f>
        <v>12</v>
      </c>
      <c r="J34" s="1">
        <f>SUMIF(Orders[Product],Inventory[[#This Row],[Product]],Orders[Quantity])</f>
        <v>9</v>
      </c>
      <c r="K34" s="1">
        <f>Inventory[[#This Row],[Purchase Units]]-Inventory[[#This Row],[Sales Units]]</f>
        <v>3</v>
      </c>
      <c r="L34" s="25">
        <f>Inventory[[#This Row],[Cost]]*Inventory[[#This Row],[Stock]]</f>
        <v>10500</v>
      </c>
      <c r="M34" s="1" t="str">
        <f>IF(Inventory[[#This Row],[Stock]]=0, "Out of Stock", IF(Inventory[[#This Row],[Stock]]&lt;=2, "Low Stock", "In Stock"))</f>
        <v>In Stock</v>
      </c>
    </row>
    <row r="35" spans="6:13" x14ac:dyDescent="0.3">
      <c r="F35" s="1" t="s">
        <v>162</v>
      </c>
      <c r="G35" s="1" t="s">
        <v>35</v>
      </c>
      <c r="H35" s="8">
        <v>300</v>
      </c>
      <c r="I35" s="1">
        <f>SUMIF(Purchase_Entry[Product],Inventory[[#This Row],[Product]],Purchase_Entry[Quantity])</f>
        <v>24</v>
      </c>
      <c r="J35" s="1">
        <f>SUMIF(Orders[Product],Inventory[[#This Row],[Product]],Orders[Quantity])</f>
        <v>15</v>
      </c>
      <c r="K35" s="1">
        <f>Inventory[[#This Row],[Purchase Units]]-Inventory[[#This Row],[Sales Units]]</f>
        <v>9</v>
      </c>
      <c r="L35" s="25">
        <f>Inventory[[#This Row],[Cost]]*Inventory[[#This Row],[Stock]]</f>
        <v>2700</v>
      </c>
      <c r="M35" s="1" t="str">
        <f>IF(Inventory[[#This Row],[Stock]]=0, "Out of Stock", IF(Inventory[[#This Row],[Stock]]&lt;=2, "Low Stock", "In Stock"))</f>
        <v>In Stock</v>
      </c>
    </row>
    <row r="36" spans="6:13" x14ac:dyDescent="0.3">
      <c r="F36" s="1" t="s">
        <v>163</v>
      </c>
      <c r="G36" s="1" t="s">
        <v>36</v>
      </c>
      <c r="H36" s="8">
        <v>600</v>
      </c>
      <c r="I36" s="1">
        <f>SUMIF(Purchase_Entry[Product],Inventory[[#This Row],[Product]],Purchase_Entry[Quantity])</f>
        <v>10</v>
      </c>
      <c r="J36" s="1">
        <f>SUMIF(Orders[Product],Inventory[[#This Row],[Product]],Orders[Quantity])</f>
        <v>6</v>
      </c>
      <c r="K36" s="1">
        <f>Inventory[[#This Row],[Purchase Units]]-Inventory[[#This Row],[Sales Units]]</f>
        <v>4</v>
      </c>
      <c r="L36" s="25">
        <f>Inventory[[#This Row],[Cost]]*Inventory[[#This Row],[Stock]]</f>
        <v>2400</v>
      </c>
      <c r="M36" s="1" t="str">
        <f>IF(Inventory[[#This Row],[Stock]]=0, "Out of Stock", IF(Inventory[[#This Row],[Stock]]&lt;=2, "Low Stock", "In Stock"))</f>
        <v>In Stock</v>
      </c>
    </row>
    <row r="37" spans="6:13" x14ac:dyDescent="0.3">
      <c r="F37" s="1" t="s">
        <v>164</v>
      </c>
      <c r="G37" s="1" t="s">
        <v>37</v>
      </c>
      <c r="H37" s="8">
        <v>1800</v>
      </c>
      <c r="I37" s="1">
        <f>SUMIF(Purchase_Entry[Product],Inventory[[#This Row],[Product]],Purchase_Entry[Quantity])</f>
        <v>3</v>
      </c>
      <c r="J37" s="1">
        <f>SUMIF(Orders[Product],Inventory[[#This Row],[Product]],Orders[Quantity])</f>
        <v>0</v>
      </c>
      <c r="K37" s="1">
        <f>Inventory[[#This Row],[Purchase Units]]-Inventory[[#This Row],[Sales Units]]</f>
        <v>3</v>
      </c>
      <c r="L37" s="25">
        <f>Inventory[[#This Row],[Cost]]*Inventory[[#This Row],[Stock]]</f>
        <v>5400</v>
      </c>
      <c r="M37" s="1" t="str">
        <f>IF(Inventory[[#This Row],[Stock]]=0, "Out of Stock", IF(Inventory[[#This Row],[Stock]]&lt;=2, "Low Stock", "In Stock"))</f>
        <v>In Stock</v>
      </c>
    </row>
    <row r="38" spans="6:13" x14ac:dyDescent="0.3">
      <c r="F38" s="1" t="s">
        <v>165</v>
      </c>
      <c r="G38" s="1" t="s">
        <v>38</v>
      </c>
      <c r="H38" s="8">
        <v>3000</v>
      </c>
      <c r="I38" s="1">
        <f>SUMIF(Purchase_Entry[Product],Inventory[[#This Row],[Product]],Purchase_Entry[Quantity])</f>
        <v>3</v>
      </c>
      <c r="J38" s="1">
        <f>SUMIF(Orders[Product],Inventory[[#This Row],[Product]],Orders[Quantity])</f>
        <v>1</v>
      </c>
      <c r="K38" s="1">
        <f>Inventory[[#This Row],[Purchase Units]]-Inventory[[#This Row],[Sales Units]]</f>
        <v>2</v>
      </c>
      <c r="L38" s="25">
        <f>Inventory[[#This Row],[Cost]]*Inventory[[#This Row],[Stock]]</f>
        <v>6000</v>
      </c>
      <c r="M38" s="1" t="str">
        <f>IF(Inventory[[#This Row],[Stock]]=0, "Out of Stock", IF(Inventory[[#This Row],[Stock]]&lt;=2, "Low Stock", "In Stock"))</f>
        <v>Low Stock</v>
      </c>
    </row>
    <row r="39" spans="6:13" x14ac:dyDescent="0.3">
      <c r="F39" s="1" t="s">
        <v>166</v>
      </c>
      <c r="G39" s="1" t="s">
        <v>39</v>
      </c>
      <c r="H39" s="8">
        <v>2000</v>
      </c>
      <c r="I39" s="1">
        <f>SUMIF(Purchase_Entry[Product],Inventory[[#This Row],[Product]],Purchase_Entry[Quantity])</f>
        <v>7</v>
      </c>
      <c r="J39" s="1">
        <f>SUMIF(Orders[Product],Inventory[[#This Row],[Product]],Orders[Quantity])</f>
        <v>3</v>
      </c>
      <c r="K39" s="1">
        <f>Inventory[[#This Row],[Purchase Units]]-Inventory[[#This Row],[Sales Units]]</f>
        <v>4</v>
      </c>
      <c r="L39" s="25">
        <f>Inventory[[#This Row],[Cost]]*Inventory[[#This Row],[Stock]]</f>
        <v>8000</v>
      </c>
      <c r="M39" s="1" t="str">
        <f>IF(Inventory[[#This Row],[Stock]]=0, "Out of Stock", IF(Inventory[[#This Row],[Stock]]&lt;=2, "Low Stock", "In Stock"))</f>
        <v>In Stock</v>
      </c>
    </row>
    <row r="40" spans="6:13" x14ac:dyDescent="0.3">
      <c r="F40" s="1" t="s">
        <v>167</v>
      </c>
      <c r="G40" s="1" t="s">
        <v>40</v>
      </c>
      <c r="H40" s="8">
        <v>2800</v>
      </c>
      <c r="I40" s="1">
        <f>SUMIF(Purchase_Entry[Product],Inventory[[#This Row],[Product]],Purchase_Entry[Quantity])</f>
        <v>1</v>
      </c>
      <c r="J40" s="1">
        <f>SUMIF(Orders[Product],Inventory[[#This Row],[Product]],Orders[Quantity])</f>
        <v>0</v>
      </c>
      <c r="K40" s="1">
        <f>Inventory[[#This Row],[Purchase Units]]-Inventory[[#This Row],[Sales Units]]</f>
        <v>1</v>
      </c>
      <c r="L40" s="25">
        <f>Inventory[[#This Row],[Cost]]*Inventory[[#This Row],[Stock]]</f>
        <v>2800</v>
      </c>
      <c r="M40" s="1" t="str">
        <f>IF(Inventory[[#This Row],[Stock]]=0, "Out of Stock", IF(Inventory[[#This Row],[Stock]]&lt;=2, "Low Stock", "In Stock"))</f>
        <v>Low Stock</v>
      </c>
    </row>
    <row r="41" spans="6:13" x14ac:dyDescent="0.3">
      <c r="F41" s="1" t="s">
        <v>168</v>
      </c>
      <c r="G41" s="1" t="s">
        <v>41</v>
      </c>
      <c r="H41" s="8">
        <v>3000</v>
      </c>
      <c r="I41" s="1">
        <f>SUMIF(Purchase_Entry[Product],Inventory[[#This Row],[Product]],Purchase_Entry[Quantity])</f>
        <v>12</v>
      </c>
      <c r="J41" s="1">
        <f>SUMIF(Orders[Product],Inventory[[#This Row],[Product]],Orders[Quantity])</f>
        <v>6</v>
      </c>
      <c r="K41" s="1">
        <f>Inventory[[#This Row],[Purchase Units]]-Inventory[[#This Row],[Sales Units]]</f>
        <v>6</v>
      </c>
      <c r="L41" s="25">
        <f>Inventory[[#This Row],[Cost]]*Inventory[[#This Row],[Stock]]</f>
        <v>18000</v>
      </c>
      <c r="M41" s="1" t="str">
        <f>IF(Inventory[[#This Row],[Stock]]=0, "Out of Stock", IF(Inventory[[#This Row],[Stock]]&lt;=2, "Low Stock", "In Stock"))</f>
        <v>In Stock</v>
      </c>
    </row>
    <row r="42" spans="6:13" x14ac:dyDescent="0.3">
      <c r="F42" s="1" t="s">
        <v>169</v>
      </c>
      <c r="G42" s="1" t="s">
        <v>42</v>
      </c>
      <c r="H42" s="8">
        <v>3000</v>
      </c>
      <c r="I42" s="1">
        <f>SUMIF(Purchase_Entry[Product],Inventory[[#This Row],[Product]],Purchase_Entry[Quantity])</f>
        <v>1</v>
      </c>
      <c r="J42" s="1">
        <f>SUMIF(Orders[Product],Inventory[[#This Row],[Product]],Orders[Quantity])</f>
        <v>0</v>
      </c>
      <c r="K42" s="1">
        <f>Inventory[[#This Row],[Purchase Units]]-Inventory[[#This Row],[Sales Units]]</f>
        <v>1</v>
      </c>
      <c r="L42" s="25">
        <f>Inventory[[#This Row],[Cost]]*Inventory[[#This Row],[Stock]]</f>
        <v>3000</v>
      </c>
      <c r="M42" s="1" t="str">
        <f>IF(Inventory[[#This Row],[Stock]]=0, "Out of Stock", IF(Inventory[[#This Row],[Stock]]&lt;=2, "Low Stock", "In Stock"))</f>
        <v>Low Stock</v>
      </c>
    </row>
    <row r="43" spans="6:13" x14ac:dyDescent="0.3">
      <c r="F43" s="1" t="s">
        <v>170</v>
      </c>
      <c r="G43" s="1" t="s">
        <v>43</v>
      </c>
      <c r="H43" s="8">
        <v>1200</v>
      </c>
      <c r="I43" s="1">
        <f>SUMIF(Purchase_Entry[Product],Inventory[[#This Row],[Product]],Purchase_Entry[Quantity])</f>
        <v>12</v>
      </c>
      <c r="J43" s="1">
        <f>SUMIF(Orders[Product],Inventory[[#This Row],[Product]],Orders[Quantity])</f>
        <v>4</v>
      </c>
      <c r="K43" s="1">
        <f>Inventory[[#This Row],[Purchase Units]]-Inventory[[#This Row],[Sales Units]]</f>
        <v>8</v>
      </c>
      <c r="L43" s="25">
        <f>Inventory[[#This Row],[Cost]]*Inventory[[#This Row],[Stock]]</f>
        <v>9600</v>
      </c>
      <c r="M43" s="1" t="str">
        <f>IF(Inventory[[#This Row],[Stock]]=0, "Out of Stock", IF(Inventory[[#This Row],[Stock]]&lt;=2, "Low Stock", "In Stock"))</f>
        <v>In Stock</v>
      </c>
    </row>
    <row r="44" spans="6:13" x14ac:dyDescent="0.3">
      <c r="F44" s="1" t="s">
        <v>171</v>
      </c>
      <c r="G44" s="1" t="s">
        <v>45</v>
      </c>
      <c r="H44" s="8">
        <v>800</v>
      </c>
      <c r="I44" s="1">
        <f>SUMIF(Purchase_Entry[Product],Inventory[[#This Row],[Product]],Purchase_Entry[Quantity])</f>
        <v>10</v>
      </c>
      <c r="J44" s="1">
        <f>SUMIF(Orders[Product],Inventory[[#This Row],[Product]],Orders[Quantity])</f>
        <v>4</v>
      </c>
      <c r="K44" s="1">
        <f>Inventory[[#This Row],[Purchase Units]]-Inventory[[#This Row],[Sales Units]]</f>
        <v>6</v>
      </c>
      <c r="L44" s="25">
        <f>Inventory[[#This Row],[Cost]]*Inventory[[#This Row],[Stock]]</f>
        <v>4800</v>
      </c>
      <c r="M44" s="1" t="str">
        <f>IF(Inventory[[#This Row],[Stock]]=0, "Out of Stock", IF(Inventory[[#This Row],[Stock]]&lt;=2, "Low Stock", "In Stock"))</f>
        <v>In Stock</v>
      </c>
    </row>
    <row r="45" spans="6:13" x14ac:dyDescent="0.3">
      <c r="F45" s="1" t="s">
        <v>172</v>
      </c>
      <c r="G45" s="1" t="s">
        <v>46</v>
      </c>
      <c r="H45" s="8">
        <v>3500</v>
      </c>
      <c r="I45" s="1">
        <f>SUMIF(Purchase_Entry[Product],Inventory[[#This Row],[Product]],Purchase_Entry[Quantity])</f>
        <v>3</v>
      </c>
      <c r="J45" s="1">
        <f>SUMIF(Orders[Product],Inventory[[#This Row],[Product]],Orders[Quantity])</f>
        <v>3</v>
      </c>
      <c r="K45" s="1">
        <f>Inventory[[#This Row],[Purchase Units]]-Inventory[[#This Row],[Sales Units]]</f>
        <v>0</v>
      </c>
      <c r="L45" s="25">
        <f>Inventory[[#This Row],[Cost]]*Inventory[[#This Row],[Stock]]</f>
        <v>0</v>
      </c>
      <c r="M45" s="1" t="str">
        <f>IF(Inventory[[#This Row],[Stock]]=0, "Out of Stock", IF(Inventory[[#This Row],[Stock]]&lt;=2, "Low Stock", "In Stock"))</f>
        <v>Out of Stock</v>
      </c>
    </row>
    <row r="46" spans="6:13" x14ac:dyDescent="0.3">
      <c r="F46" s="1" t="s">
        <v>173</v>
      </c>
      <c r="G46" s="1" t="s">
        <v>48</v>
      </c>
      <c r="H46" s="8">
        <v>3500</v>
      </c>
      <c r="I46" s="1">
        <f>SUMIF(Purchase_Entry[Product],Inventory[[#This Row],[Product]],Purchase_Entry[Quantity])</f>
        <v>3</v>
      </c>
      <c r="J46" s="1">
        <f>SUMIF(Orders[Product],Inventory[[#This Row],[Product]],Orders[Quantity])</f>
        <v>2</v>
      </c>
      <c r="K46" s="1">
        <f>Inventory[[#This Row],[Purchase Units]]-Inventory[[#This Row],[Sales Units]]</f>
        <v>1</v>
      </c>
      <c r="L46" s="25">
        <f>Inventory[[#This Row],[Cost]]*Inventory[[#This Row],[Stock]]</f>
        <v>3500</v>
      </c>
      <c r="M46" s="1" t="str">
        <f>IF(Inventory[[#This Row],[Stock]]=0, "Out of Stock", IF(Inventory[[#This Row],[Stock]]&lt;=2, "Low Stock", "In Stock"))</f>
        <v>Low Stock</v>
      </c>
    </row>
    <row r="47" spans="6:13" x14ac:dyDescent="0.3">
      <c r="F47" s="1" t="s">
        <v>174</v>
      </c>
      <c r="G47" s="1" t="s">
        <v>49</v>
      </c>
      <c r="H47" s="8">
        <v>4500</v>
      </c>
      <c r="I47" s="1">
        <f>SUMIF(Purchase_Entry[Product],Inventory[[#This Row],[Product]],Purchase_Entry[Quantity])</f>
        <v>6</v>
      </c>
      <c r="J47" s="1">
        <f>SUMIF(Orders[Product],Inventory[[#This Row],[Product]],Orders[Quantity])</f>
        <v>3</v>
      </c>
      <c r="K47" s="1">
        <f>Inventory[[#This Row],[Purchase Units]]-Inventory[[#This Row],[Sales Units]]</f>
        <v>3</v>
      </c>
      <c r="L47" s="25">
        <f>Inventory[[#This Row],[Cost]]*Inventory[[#This Row],[Stock]]</f>
        <v>13500</v>
      </c>
      <c r="M47" s="1" t="str">
        <f>IF(Inventory[[#This Row],[Stock]]=0, "Out of Stock", IF(Inventory[[#This Row],[Stock]]&lt;=2, "Low Stock", "In Stock"))</f>
        <v>In Stock</v>
      </c>
    </row>
    <row r="48" spans="6:13" x14ac:dyDescent="0.3">
      <c r="F48" s="1" t="s">
        <v>175</v>
      </c>
      <c r="G48" s="1" t="s">
        <v>50</v>
      </c>
      <c r="H48" s="8">
        <v>4000</v>
      </c>
      <c r="I48" s="1">
        <f>SUMIF(Purchase_Entry[Product],Inventory[[#This Row],[Product]],Purchase_Entry[Quantity])</f>
        <v>5</v>
      </c>
      <c r="J48" s="1">
        <f>SUMIF(Orders[Product],Inventory[[#This Row],[Product]],Orders[Quantity])</f>
        <v>2</v>
      </c>
      <c r="K48" s="1">
        <f>Inventory[[#This Row],[Purchase Units]]-Inventory[[#This Row],[Sales Units]]</f>
        <v>3</v>
      </c>
      <c r="L48" s="25">
        <f>Inventory[[#This Row],[Cost]]*Inventory[[#This Row],[Stock]]</f>
        <v>12000</v>
      </c>
      <c r="M48" s="1" t="str">
        <f>IF(Inventory[[#This Row],[Stock]]=0, "Out of Stock", IF(Inventory[[#This Row],[Stock]]&lt;=2, "Low Stock", "In Stock"))</f>
        <v>In Stock</v>
      </c>
    </row>
    <row r="49" spans="6:13" x14ac:dyDescent="0.3">
      <c r="F49" s="1" t="s">
        <v>176</v>
      </c>
      <c r="G49" s="1" t="s">
        <v>51</v>
      </c>
      <c r="H49" s="8">
        <v>3200</v>
      </c>
      <c r="I49" s="1">
        <f>SUMIF(Purchase_Entry[Product],Inventory[[#This Row],[Product]],Purchase_Entry[Quantity])</f>
        <v>12</v>
      </c>
      <c r="J49" s="1">
        <f>SUMIF(Orders[Product],Inventory[[#This Row],[Product]],Orders[Quantity])</f>
        <v>9</v>
      </c>
      <c r="K49" s="1">
        <f>Inventory[[#This Row],[Purchase Units]]-Inventory[[#This Row],[Sales Units]]</f>
        <v>3</v>
      </c>
      <c r="L49" s="25">
        <f>Inventory[[#This Row],[Cost]]*Inventory[[#This Row],[Stock]]</f>
        <v>9600</v>
      </c>
      <c r="M49" s="1" t="str">
        <f>IF(Inventory[[#This Row],[Stock]]=0, "Out of Stock", IF(Inventory[[#This Row],[Stock]]&lt;=2, "Low Stock", "In Stock"))</f>
        <v>In Stock</v>
      </c>
    </row>
    <row r="50" spans="6:13" x14ac:dyDescent="0.3">
      <c r="F50" s="1" t="s">
        <v>177</v>
      </c>
      <c r="G50" s="1" t="s">
        <v>52</v>
      </c>
      <c r="H50" s="8">
        <v>500</v>
      </c>
      <c r="I50" s="1">
        <f>SUMIF(Purchase_Entry[Product],Inventory[[#This Row],[Product]],Purchase_Entry[Quantity])</f>
        <v>12</v>
      </c>
      <c r="J50" s="1">
        <f>SUMIF(Orders[Product],Inventory[[#This Row],[Product]],Orders[Quantity])</f>
        <v>3</v>
      </c>
      <c r="K50" s="1">
        <f>Inventory[[#This Row],[Purchase Units]]-Inventory[[#This Row],[Sales Units]]</f>
        <v>9</v>
      </c>
      <c r="L50" s="25">
        <f>Inventory[[#This Row],[Cost]]*Inventory[[#This Row],[Stock]]</f>
        <v>4500</v>
      </c>
      <c r="M50" s="1" t="str">
        <f>IF(Inventory[[#This Row],[Stock]]=0, "Out of Stock", IF(Inventory[[#This Row],[Stock]]&lt;=2, "Low Stock", "In Stock"))</f>
        <v>In Stock</v>
      </c>
    </row>
    <row r="51" spans="6:13" x14ac:dyDescent="0.3">
      <c r="F51" s="1" t="s">
        <v>178</v>
      </c>
      <c r="G51" s="1" t="s">
        <v>54</v>
      </c>
      <c r="H51" s="8">
        <v>500</v>
      </c>
      <c r="I51" s="1">
        <f>SUMIF(Purchase_Entry[Product],Inventory[[#This Row],[Product]],Purchase_Entry[Quantity])</f>
        <v>12</v>
      </c>
      <c r="J51" s="1">
        <f>SUMIF(Orders[Product],Inventory[[#This Row],[Product]],Orders[Quantity])</f>
        <v>5</v>
      </c>
      <c r="K51" s="1">
        <f>Inventory[[#This Row],[Purchase Units]]-Inventory[[#This Row],[Sales Units]]</f>
        <v>7</v>
      </c>
      <c r="L51" s="25">
        <f>Inventory[[#This Row],[Cost]]*Inventory[[#This Row],[Stock]]</f>
        <v>3500</v>
      </c>
      <c r="M51" s="1" t="str">
        <f>IF(Inventory[[#This Row],[Stock]]=0, "Out of Stock", IF(Inventory[[#This Row],[Stock]]&lt;=2, "Low Stock", "In Stock"))</f>
        <v>In Stock</v>
      </c>
    </row>
    <row r="52" spans="6:13" x14ac:dyDescent="0.3">
      <c r="F52" s="1" t="s">
        <v>179</v>
      </c>
      <c r="G52" s="1" t="s">
        <v>55</v>
      </c>
      <c r="H52" s="8">
        <v>1000</v>
      </c>
      <c r="I52" s="1">
        <f>SUMIF(Purchase_Entry[Product],Inventory[[#This Row],[Product]],Purchase_Entry[Quantity])</f>
        <v>12</v>
      </c>
      <c r="J52" s="1">
        <f>SUMIF(Orders[Product],Inventory[[#This Row],[Product]],Orders[Quantity])</f>
        <v>7</v>
      </c>
      <c r="K52" s="1">
        <f>Inventory[[#This Row],[Purchase Units]]-Inventory[[#This Row],[Sales Units]]</f>
        <v>5</v>
      </c>
      <c r="L52" s="25">
        <f>Inventory[[#This Row],[Cost]]*Inventory[[#This Row],[Stock]]</f>
        <v>5000</v>
      </c>
      <c r="M52" s="1" t="str">
        <f>IF(Inventory[[#This Row],[Stock]]=0, "Out of Stock", IF(Inventory[[#This Row],[Stock]]&lt;=2, "Low Stock", "In Stock"))</f>
        <v>In Stock</v>
      </c>
    </row>
    <row r="53" spans="6:13" x14ac:dyDescent="0.3">
      <c r="F53" s="1" t="s">
        <v>180</v>
      </c>
      <c r="G53" s="1" t="s">
        <v>56</v>
      </c>
      <c r="H53" s="21">
        <v>2000</v>
      </c>
      <c r="I53" s="1">
        <f>SUMIF(Purchase_Entry[Product],Inventory[[#This Row],[Product]],Purchase_Entry[Quantity])</f>
        <v>20</v>
      </c>
      <c r="J53" s="1">
        <f>SUMIF(Orders[Product],Inventory[[#This Row],[Product]],Orders[Quantity])</f>
        <v>16</v>
      </c>
      <c r="K53" s="1">
        <f>Inventory[[#This Row],[Purchase Units]]-Inventory[[#This Row],[Sales Units]]</f>
        <v>4</v>
      </c>
      <c r="L53" s="25">
        <f>Inventory[[#This Row],[Cost]]*Inventory[[#This Row],[Stock]]</f>
        <v>8000</v>
      </c>
      <c r="M53" s="1" t="str">
        <f>IF(Inventory[[#This Row],[Stock]]=0, "Out of Stock", IF(Inventory[[#This Row],[Stock]]&lt;=2, "Low Stock", "In Stock"))</f>
        <v>In Stock</v>
      </c>
    </row>
  </sheetData>
  <conditionalFormatting sqref="M7:M53">
    <cfRule type="containsText" dxfId="69" priority="3" operator="containsText" text="Out of Stock">
      <formula>NOT(ISERROR(SEARCH("Out of Stock",M7)))</formula>
    </cfRule>
  </conditionalFormatting>
  <conditionalFormatting sqref="M8:M53">
    <cfRule type="containsText" dxfId="68" priority="1" operator="containsText" text="In Stock">
      <formula>NOT(ISERROR(SEARCH("In Stock",M8)))</formula>
    </cfRule>
    <cfRule type="containsText" dxfId="67" priority="2" operator="containsText" text="Low Stock">
      <formula>NOT(ISERROR(SEARCH("Low Stock",M8)))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9722E-0A01-4276-A32B-10CECE6A8865}">
  <sheetPr codeName="Sheet6"/>
  <dimension ref="F7:J53"/>
  <sheetViews>
    <sheetView workbookViewId="0">
      <selection activeCell="J12" sqref="J12"/>
    </sheetView>
  </sheetViews>
  <sheetFormatPr defaultRowHeight="14.4" x14ac:dyDescent="0.3"/>
  <cols>
    <col min="1" max="5" width="8.88671875" style="1"/>
    <col min="6" max="6" width="11.6640625" style="1" bestFit="1" customWidth="1"/>
    <col min="7" max="7" width="18.88671875" style="1" bestFit="1" customWidth="1"/>
    <col min="8" max="8" width="19.44140625" style="1" bestFit="1" customWidth="1"/>
    <col min="9" max="9" width="10.109375" style="1" bestFit="1" customWidth="1"/>
    <col min="10" max="10" width="12.109375" style="1" bestFit="1" customWidth="1"/>
    <col min="11" max="16384" width="8.88671875" style="1"/>
  </cols>
  <sheetData>
    <row r="7" spans="6:10" x14ac:dyDescent="0.3">
      <c r="F7" s="5" t="s">
        <v>0</v>
      </c>
      <c r="G7" s="5" t="s">
        <v>1</v>
      </c>
      <c r="H7" s="5" t="s">
        <v>2</v>
      </c>
      <c r="I7" s="5" t="s">
        <v>57</v>
      </c>
      <c r="J7" s="5" t="s">
        <v>58</v>
      </c>
    </row>
    <row r="8" spans="6:10" x14ac:dyDescent="0.3">
      <c r="F8" s="1" t="s">
        <v>135</v>
      </c>
      <c r="G8" s="1" t="s">
        <v>3</v>
      </c>
      <c r="H8" s="1" t="s">
        <v>4</v>
      </c>
      <c r="I8" s="8">
        <v>3000</v>
      </c>
      <c r="J8" s="8">
        <v>5500</v>
      </c>
    </row>
    <row r="9" spans="6:10" x14ac:dyDescent="0.3">
      <c r="F9" s="1" t="s">
        <v>136</v>
      </c>
      <c r="G9" s="1" t="s">
        <v>5</v>
      </c>
      <c r="H9" s="1" t="s">
        <v>4</v>
      </c>
      <c r="I9" s="8">
        <v>2200</v>
      </c>
      <c r="J9" s="8">
        <v>4000</v>
      </c>
    </row>
    <row r="10" spans="6:10" x14ac:dyDescent="0.3">
      <c r="F10" s="1" t="s">
        <v>137</v>
      </c>
      <c r="G10" s="1" t="s">
        <v>6</v>
      </c>
      <c r="H10" s="1" t="s">
        <v>4</v>
      </c>
      <c r="I10" s="8">
        <v>3000</v>
      </c>
      <c r="J10" s="8">
        <v>5000</v>
      </c>
    </row>
    <row r="11" spans="6:10" x14ac:dyDescent="0.3">
      <c r="F11" s="1" t="s">
        <v>138</v>
      </c>
      <c r="G11" s="1" t="s">
        <v>7</v>
      </c>
      <c r="H11" s="1" t="s">
        <v>4</v>
      </c>
      <c r="I11" s="8">
        <v>3000</v>
      </c>
      <c r="J11" s="8">
        <v>5500</v>
      </c>
    </row>
    <row r="12" spans="6:10" x14ac:dyDescent="0.3">
      <c r="F12" s="1" t="s">
        <v>139</v>
      </c>
      <c r="G12" s="1" t="s">
        <v>8</v>
      </c>
      <c r="H12" s="1" t="s">
        <v>4</v>
      </c>
      <c r="I12" s="8">
        <v>3000</v>
      </c>
      <c r="J12" s="8">
        <v>5500</v>
      </c>
    </row>
    <row r="13" spans="6:10" x14ac:dyDescent="0.3">
      <c r="F13" s="1" t="s">
        <v>140</v>
      </c>
      <c r="G13" s="1" t="s">
        <v>9</v>
      </c>
      <c r="H13" s="1" t="s">
        <v>10</v>
      </c>
      <c r="I13" s="8">
        <v>1500</v>
      </c>
      <c r="J13" s="8">
        <v>3500</v>
      </c>
    </row>
    <row r="14" spans="6:10" x14ac:dyDescent="0.3">
      <c r="F14" s="1" t="s">
        <v>141</v>
      </c>
      <c r="G14" s="1" t="s">
        <v>11</v>
      </c>
      <c r="H14" s="1" t="s">
        <v>10</v>
      </c>
      <c r="I14" s="8">
        <v>3500</v>
      </c>
      <c r="J14" s="8">
        <v>6000</v>
      </c>
    </row>
    <row r="15" spans="6:10" x14ac:dyDescent="0.3">
      <c r="F15" s="1" t="s">
        <v>142</v>
      </c>
      <c r="G15" s="1" t="s">
        <v>12</v>
      </c>
      <c r="H15" s="1" t="s">
        <v>10</v>
      </c>
      <c r="I15" s="8">
        <v>2500</v>
      </c>
      <c r="J15" s="8">
        <v>4000</v>
      </c>
    </row>
    <row r="16" spans="6:10" x14ac:dyDescent="0.3">
      <c r="F16" s="1" t="s">
        <v>143</v>
      </c>
      <c r="G16" s="1" t="s">
        <v>13</v>
      </c>
      <c r="H16" s="1" t="s">
        <v>10</v>
      </c>
      <c r="I16" s="8">
        <v>4000</v>
      </c>
      <c r="J16" s="8">
        <v>6500</v>
      </c>
    </row>
    <row r="17" spans="6:10" x14ac:dyDescent="0.3">
      <c r="F17" s="1" t="s">
        <v>144</v>
      </c>
      <c r="G17" s="1" t="s">
        <v>14</v>
      </c>
      <c r="H17" s="1" t="s">
        <v>10</v>
      </c>
      <c r="I17" s="8">
        <v>10000</v>
      </c>
      <c r="J17" s="8">
        <v>15000</v>
      </c>
    </row>
    <row r="18" spans="6:10" x14ac:dyDescent="0.3">
      <c r="F18" s="1" t="s">
        <v>145</v>
      </c>
      <c r="G18" s="1" t="s">
        <v>15</v>
      </c>
      <c r="H18" s="1" t="s">
        <v>10</v>
      </c>
      <c r="I18" s="8">
        <v>7500</v>
      </c>
      <c r="J18" s="8">
        <v>11000</v>
      </c>
    </row>
    <row r="19" spans="6:10" x14ac:dyDescent="0.3">
      <c r="F19" s="1" t="s">
        <v>146</v>
      </c>
      <c r="G19" s="1" t="s">
        <v>16</v>
      </c>
      <c r="H19" s="1" t="s">
        <v>10</v>
      </c>
      <c r="I19" s="8">
        <v>2000</v>
      </c>
      <c r="J19" s="8">
        <v>3500</v>
      </c>
    </row>
    <row r="20" spans="6:10" x14ac:dyDescent="0.3">
      <c r="F20" s="1" t="s">
        <v>147</v>
      </c>
      <c r="G20" s="1" t="s">
        <v>17</v>
      </c>
      <c r="H20" s="1" t="s">
        <v>10</v>
      </c>
      <c r="I20" s="8">
        <v>3000</v>
      </c>
      <c r="J20" s="8">
        <v>4500</v>
      </c>
    </row>
    <row r="21" spans="6:10" x14ac:dyDescent="0.3">
      <c r="F21" s="1" t="s">
        <v>148</v>
      </c>
      <c r="G21" s="1" t="s">
        <v>18</v>
      </c>
      <c r="H21" s="1" t="s">
        <v>19</v>
      </c>
      <c r="I21" s="8">
        <v>1500</v>
      </c>
      <c r="J21" s="8">
        <v>2500</v>
      </c>
    </row>
    <row r="22" spans="6:10" x14ac:dyDescent="0.3">
      <c r="F22" s="1" t="s">
        <v>149</v>
      </c>
      <c r="G22" s="1" t="s">
        <v>20</v>
      </c>
      <c r="H22" s="1" t="s">
        <v>19</v>
      </c>
      <c r="I22" s="8">
        <v>6500</v>
      </c>
      <c r="J22" s="8">
        <v>9000</v>
      </c>
    </row>
    <row r="23" spans="6:10" x14ac:dyDescent="0.3">
      <c r="F23" s="1" t="s">
        <v>150</v>
      </c>
      <c r="G23" s="1" t="s">
        <v>21</v>
      </c>
      <c r="H23" s="1" t="s">
        <v>19</v>
      </c>
      <c r="I23" s="8">
        <v>3000</v>
      </c>
      <c r="J23" s="8">
        <v>5000</v>
      </c>
    </row>
    <row r="24" spans="6:10" x14ac:dyDescent="0.3">
      <c r="F24" s="1" t="s">
        <v>151</v>
      </c>
      <c r="G24" s="1" t="s">
        <v>22</v>
      </c>
      <c r="H24" s="1" t="s">
        <v>19</v>
      </c>
      <c r="I24" s="8">
        <v>2800</v>
      </c>
      <c r="J24" s="8">
        <v>4500</v>
      </c>
    </row>
    <row r="25" spans="6:10" x14ac:dyDescent="0.3">
      <c r="F25" s="1" t="s">
        <v>152</v>
      </c>
      <c r="G25" s="1" t="s">
        <v>23</v>
      </c>
      <c r="H25" s="1" t="s">
        <v>24</v>
      </c>
      <c r="I25" s="8">
        <v>5000</v>
      </c>
      <c r="J25" s="8">
        <v>8500</v>
      </c>
    </row>
    <row r="26" spans="6:10" x14ac:dyDescent="0.3">
      <c r="F26" s="1" t="s">
        <v>153</v>
      </c>
      <c r="G26" s="1" t="s">
        <v>25</v>
      </c>
      <c r="H26" s="1" t="s">
        <v>24</v>
      </c>
      <c r="I26" s="8">
        <v>2800</v>
      </c>
      <c r="J26" s="8">
        <v>6000</v>
      </c>
    </row>
    <row r="27" spans="6:10" x14ac:dyDescent="0.3">
      <c r="F27" s="1" t="s">
        <v>154</v>
      </c>
      <c r="G27" s="1" t="s">
        <v>26</v>
      </c>
      <c r="H27" s="1" t="s">
        <v>24</v>
      </c>
      <c r="I27" s="8">
        <v>4500</v>
      </c>
      <c r="J27" s="8">
        <v>7500</v>
      </c>
    </row>
    <row r="28" spans="6:10" x14ac:dyDescent="0.3">
      <c r="F28" s="1" t="s">
        <v>155</v>
      </c>
      <c r="G28" s="1" t="s">
        <v>27</v>
      </c>
      <c r="H28" s="1" t="s">
        <v>28</v>
      </c>
      <c r="I28" s="8">
        <v>1300</v>
      </c>
      <c r="J28" s="8">
        <v>2500</v>
      </c>
    </row>
    <row r="29" spans="6:10" x14ac:dyDescent="0.3">
      <c r="F29" s="1" t="s">
        <v>156</v>
      </c>
      <c r="G29" s="1" t="s">
        <v>29</v>
      </c>
      <c r="H29" s="1" t="s">
        <v>28</v>
      </c>
      <c r="I29" s="8">
        <v>3200</v>
      </c>
      <c r="J29" s="8">
        <v>5000</v>
      </c>
    </row>
    <row r="30" spans="6:10" x14ac:dyDescent="0.3">
      <c r="F30" s="1" t="s">
        <v>157</v>
      </c>
      <c r="G30" s="1" t="s">
        <v>30</v>
      </c>
      <c r="H30" s="1" t="s">
        <v>28</v>
      </c>
      <c r="I30" s="8">
        <v>2000</v>
      </c>
      <c r="J30" s="8">
        <v>4500</v>
      </c>
    </row>
    <row r="31" spans="6:10" x14ac:dyDescent="0.3">
      <c r="F31" s="1" t="s">
        <v>158</v>
      </c>
      <c r="G31" s="1" t="s">
        <v>31</v>
      </c>
      <c r="H31" s="1" t="s">
        <v>28</v>
      </c>
      <c r="I31" s="8">
        <v>2800</v>
      </c>
      <c r="J31" s="8">
        <v>4500</v>
      </c>
    </row>
    <row r="32" spans="6:10" x14ac:dyDescent="0.3">
      <c r="F32" s="1" t="s">
        <v>159</v>
      </c>
      <c r="G32" s="1" t="s">
        <v>32</v>
      </c>
      <c r="H32" s="1" t="s">
        <v>28</v>
      </c>
      <c r="I32" s="8">
        <v>2500</v>
      </c>
      <c r="J32" s="8">
        <v>4500</v>
      </c>
    </row>
    <row r="33" spans="6:10" x14ac:dyDescent="0.3">
      <c r="F33" s="1" t="s">
        <v>160</v>
      </c>
      <c r="G33" s="1" t="s">
        <v>33</v>
      </c>
      <c r="H33" s="1" t="s">
        <v>28</v>
      </c>
      <c r="I33" s="8">
        <v>3000</v>
      </c>
      <c r="J33" s="8">
        <v>4500</v>
      </c>
    </row>
    <row r="34" spans="6:10" x14ac:dyDescent="0.3">
      <c r="F34" s="1" t="s">
        <v>161</v>
      </c>
      <c r="G34" s="1" t="s">
        <v>34</v>
      </c>
      <c r="H34" s="1" t="s">
        <v>28</v>
      </c>
      <c r="I34" s="8">
        <v>3500</v>
      </c>
      <c r="J34" s="8">
        <v>6500</v>
      </c>
    </row>
    <row r="35" spans="6:10" x14ac:dyDescent="0.3">
      <c r="F35" s="1" t="s">
        <v>162</v>
      </c>
      <c r="G35" s="1" t="s">
        <v>35</v>
      </c>
      <c r="H35" s="1" t="s">
        <v>28</v>
      </c>
      <c r="I35" s="8">
        <v>300</v>
      </c>
      <c r="J35" s="8">
        <v>500</v>
      </c>
    </row>
    <row r="36" spans="6:10" x14ac:dyDescent="0.3">
      <c r="F36" s="1" t="s">
        <v>163</v>
      </c>
      <c r="G36" s="1" t="s">
        <v>36</v>
      </c>
      <c r="H36" s="1" t="s">
        <v>28</v>
      </c>
      <c r="I36" s="8">
        <v>600</v>
      </c>
      <c r="J36" s="8">
        <v>1000</v>
      </c>
    </row>
    <row r="37" spans="6:10" x14ac:dyDescent="0.3">
      <c r="F37" s="1" t="s">
        <v>164</v>
      </c>
      <c r="G37" s="1" t="s">
        <v>37</v>
      </c>
      <c r="H37" s="1" t="s">
        <v>28</v>
      </c>
      <c r="I37" s="8">
        <v>1800</v>
      </c>
      <c r="J37" s="8">
        <v>3500</v>
      </c>
    </row>
    <row r="38" spans="6:10" x14ac:dyDescent="0.3">
      <c r="F38" s="1" t="s">
        <v>165</v>
      </c>
      <c r="G38" s="1" t="s">
        <v>38</v>
      </c>
      <c r="H38" s="1" t="s">
        <v>28</v>
      </c>
      <c r="I38" s="8">
        <v>3000</v>
      </c>
      <c r="J38" s="8">
        <v>5000</v>
      </c>
    </row>
    <row r="39" spans="6:10" x14ac:dyDescent="0.3">
      <c r="F39" s="1" t="s">
        <v>166</v>
      </c>
      <c r="G39" s="1" t="s">
        <v>39</v>
      </c>
      <c r="H39" s="1" t="s">
        <v>28</v>
      </c>
      <c r="I39" s="8">
        <v>2000</v>
      </c>
      <c r="J39" s="8">
        <v>5000</v>
      </c>
    </row>
    <row r="40" spans="6:10" x14ac:dyDescent="0.3">
      <c r="F40" s="1" t="s">
        <v>167</v>
      </c>
      <c r="G40" s="1" t="s">
        <v>40</v>
      </c>
      <c r="H40" s="1" t="s">
        <v>28</v>
      </c>
      <c r="I40" s="8">
        <v>2800</v>
      </c>
      <c r="J40" s="8">
        <v>4000</v>
      </c>
    </row>
    <row r="41" spans="6:10" x14ac:dyDescent="0.3">
      <c r="F41" s="1" t="s">
        <v>168</v>
      </c>
      <c r="G41" s="1" t="s">
        <v>41</v>
      </c>
      <c r="H41" s="1" t="s">
        <v>28</v>
      </c>
      <c r="I41" s="8">
        <v>3000</v>
      </c>
      <c r="J41" s="8">
        <v>5000</v>
      </c>
    </row>
    <row r="42" spans="6:10" x14ac:dyDescent="0.3">
      <c r="F42" s="1" t="s">
        <v>169</v>
      </c>
      <c r="G42" s="1" t="s">
        <v>42</v>
      </c>
      <c r="H42" s="1" t="s">
        <v>28</v>
      </c>
      <c r="I42" s="8">
        <v>3000</v>
      </c>
      <c r="J42" s="8">
        <v>5000</v>
      </c>
    </row>
    <row r="43" spans="6:10" x14ac:dyDescent="0.3">
      <c r="F43" s="1" t="s">
        <v>170</v>
      </c>
      <c r="G43" s="1" t="s">
        <v>43</v>
      </c>
      <c r="H43" s="1" t="s">
        <v>44</v>
      </c>
      <c r="I43" s="8">
        <v>1200</v>
      </c>
      <c r="J43" s="8">
        <v>2500</v>
      </c>
    </row>
    <row r="44" spans="6:10" x14ac:dyDescent="0.3">
      <c r="F44" s="1" t="s">
        <v>171</v>
      </c>
      <c r="G44" s="1" t="s">
        <v>45</v>
      </c>
      <c r="H44" s="1" t="s">
        <v>44</v>
      </c>
      <c r="I44" s="8">
        <v>800</v>
      </c>
      <c r="J44" s="8">
        <v>1500</v>
      </c>
    </row>
    <row r="45" spans="6:10" x14ac:dyDescent="0.3">
      <c r="F45" s="1" t="s">
        <v>172</v>
      </c>
      <c r="G45" s="1" t="s">
        <v>46</v>
      </c>
      <c r="H45" s="1" t="s">
        <v>47</v>
      </c>
      <c r="I45" s="8">
        <v>3500</v>
      </c>
      <c r="J45" s="8">
        <v>5000</v>
      </c>
    </row>
    <row r="46" spans="6:10" x14ac:dyDescent="0.3">
      <c r="F46" s="1" t="s">
        <v>173</v>
      </c>
      <c r="G46" s="1" t="s">
        <v>48</v>
      </c>
      <c r="H46" s="1" t="s">
        <v>47</v>
      </c>
      <c r="I46" s="8">
        <v>3500</v>
      </c>
      <c r="J46" s="8">
        <v>5000</v>
      </c>
    </row>
    <row r="47" spans="6:10" x14ac:dyDescent="0.3">
      <c r="F47" s="1" t="s">
        <v>174</v>
      </c>
      <c r="G47" s="1" t="s">
        <v>49</v>
      </c>
      <c r="H47" s="1" t="s">
        <v>47</v>
      </c>
      <c r="I47" s="8">
        <v>4500</v>
      </c>
      <c r="J47" s="8">
        <v>7500</v>
      </c>
    </row>
    <row r="48" spans="6:10" x14ac:dyDescent="0.3">
      <c r="F48" s="1" t="s">
        <v>175</v>
      </c>
      <c r="G48" s="1" t="s">
        <v>50</v>
      </c>
      <c r="H48" s="1" t="s">
        <v>47</v>
      </c>
      <c r="I48" s="8">
        <v>4000</v>
      </c>
      <c r="J48" s="8">
        <v>7500</v>
      </c>
    </row>
    <row r="49" spans="6:10" x14ac:dyDescent="0.3">
      <c r="F49" s="1" t="s">
        <v>176</v>
      </c>
      <c r="G49" s="1" t="s">
        <v>51</v>
      </c>
      <c r="H49" s="1" t="s">
        <v>47</v>
      </c>
      <c r="I49" s="8">
        <v>3200</v>
      </c>
      <c r="J49" s="8">
        <v>5000</v>
      </c>
    </row>
    <row r="50" spans="6:10" x14ac:dyDescent="0.3">
      <c r="F50" s="1" t="s">
        <v>177</v>
      </c>
      <c r="G50" s="1" t="s">
        <v>52</v>
      </c>
      <c r="H50" s="1" t="s">
        <v>53</v>
      </c>
      <c r="I50" s="8">
        <v>500</v>
      </c>
      <c r="J50" s="8">
        <v>1000</v>
      </c>
    </row>
    <row r="51" spans="6:10" x14ac:dyDescent="0.3">
      <c r="F51" s="1" t="s">
        <v>178</v>
      </c>
      <c r="G51" s="1" t="s">
        <v>54</v>
      </c>
      <c r="H51" s="1" t="s">
        <v>53</v>
      </c>
      <c r="I51" s="8">
        <v>500</v>
      </c>
      <c r="J51" s="8">
        <v>1000</v>
      </c>
    </row>
    <row r="52" spans="6:10" x14ac:dyDescent="0.3">
      <c r="F52" s="1" t="s">
        <v>179</v>
      </c>
      <c r="G52" s="1" t="s">
        <v>55</v>
      </c>
      <c r="H52" s="1" t="s">
        <v>53</v>
      </c>
      <c r="I52" s="8">
        <v>1000</v>
      </c>
      <c r="J52" s="8">
        <v>2000</v>
      </c>
    </row>
    <row r="53" spans="6:10" x14ac:dyDescent="0.3">
      <c r="F53" s="1" t="s">
        <v>180</v>
      </c>
      <c r="G53" s="1" t="s">
        <v>56</v>
      </c>
      <c r="H53" s="1" t="s">
        <v>53</v>
      </c>
      <c r="I53" s="8">
        <v>2000</v>
      </c>
      <c r="J53" s="8">
        <v>3500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7AC3A-006B-436F-BBB8-28DCCBE16BCC}">
  <sheetPr codeName="Sheet7"/>
  <dimension ref="F7:O22"/>
  <sheetViews>
    <sheetView workbookViewId="0">
      <selection activeCell="J17" sqref="J17"/>
    </sheetView>
  </sheetViews>
  <sheetFormatPr defaultRowHeight="14.4" x14ac:dyDescent="0.3"/>
  <cols>
    <col min="1" max="4" width="8.88671875" style="1"/>
    <col min="5" max="5" width="7.5546875" style="1" customWidth="1"/>
    <col min="6" max="6" width="18.21875" style="1" bestFit="1" customWidth="1"/>
    <col min="7" max="7" width="6.77734375" style="1" customWidth="1"/>
    <col min="8" max="8" width="18.109375" style="1" bestFit="1" customWidth="1"/>
    <col min="9" max="9" width="16.109375" style="1" bestFit="1" customWidth="1"/>
    <col min="10" max="10" width="20.6640625" style="1" bestFit="1" customWidth="1"/>
    <col min="11" max="11" width="13.109375" style="1" bestFit="1" customWidth="1"/>
    <col min="12" max="12" width="18.88671875" style="1" bestFit="1" customWidth="1"/>
    <col min="13" max="13" width="20.21875" style="1" customWidth="1"/>
    <col min="14" max="14" width="18.88671875" style="1" bestFit="1" customWidth="1"/>
    <col min="15" max="15" width="20.109375" style="1" bestFit="1" customWidth="1"/>
    <col min="16" max="16384" width="8.88671875" style="1"/>
  </cols>
  <sheetData>
    <row r="7" spans="6:15" x14ac:dyDescent="0.3">
      <c r="F7" s="5" t="s">
        <v>2</v>
      </c>
      <c r="H7" s="5" t="s">
        <v>4</v>
      </c>
      <c r="I7" s="5" t="s">
        <v>10</v>
      </c>
      <c r="J7" s="5" t="s">
        <v>19</v>
      </c>
      <c r="K7" s="5" t="s">
        <v>132</v>
      </c>
      <c r="L7" s="5" t="s">
        <v>133</v>
      </c>
      <c r="M7" s="5" t="s">
        <v>44</v>
      </c>
      <c r="N7" s="5" t="s">
        <v>47</v>
      </c>
      <c r="O7" s="5" t="s">
        <v>134</v>
      </c>
    </row>
    <row r="8" spans="6:15" x14ac:dyDescent="0.3">
      <c r="F8" s="1" t="s">
        <v>4</v>
      </c>
      <c r="H8" s="1" t="s">
        <v>3</v>
      </c>
      <c r="I8" s="1" t="s">
        <v>9</v>
      </c>
      <c r="J8" s="1" t="s">
        <v>18</v>
      </c>
      <c r="K8" s="1" t="s">
        <v>23</v>
      </c>
      <c r="L8" s="1" t="s">
        <v>27</v>
      </c>
      <c r="M8" s="1" t="s">
        <v>43</v>
      </c>
      <c r="N8" s="1" t="s">
        <v>46</v>
      </c>
      <c r="O8" s="1" t="s">
        <v>52</v>
      </c>
    </row>
    <row r="9" spans="6:15" x14ac:dyDescent="0.3">
      <c r="F9" s="1" t="s">
        <v>10</v>
      </c>
      <c r="H9" s="1" t="s">
        <v>5</v>
      </c>
      <c r="I9" s="1" t="s">
        <v>11</v>
      </c>
      <c r="J9" s="1" t="s">
        <v>20</v>
      </c>
      <c r="K9" s="1" t="s">
        <v>25</v>
      </c>
      <c r="L9" s="1" t="s">
        <v>29</v>
      </c>
      <c r="M9" s="1" t="s">
        <v>45</v>
      </c>
      <c r="N9" s="1" t="s">
        <v>48</v>
      </c>
      <c r="O9" s="1" t="s">
        <v>54</v>
      </c>
    </row>
    <row r="10" spans="6:15" x14ac:dyDescent="0.3">
      <c r="F10" s="1" t="s">
        <v>19</v>
      </c>
      <c r="H10" s="1" t="s">
        <v>6</v>
      </c>
      <c r="I10" s="1" t="s">
        <v>12</v>
      </c>
      <c r="J10" s="1" t="s">
        <v>21</v>
      </c>
      <c r="K10" s="1" t="s">
        <v>26</v>
      </c>
      <c r="L10" s="1" t="s">
        <v>30</v>
      </c>
      <c r="N10" s="1" t="s">
        <v>49</v>
      </c>
      <c r="O10" s="1" t="s">
        <v>55</v>
      </c>
    </row>
    <row r="11" spans="6:15" x14ac:dyDescent="0.3">
      <c r="F11" s="1" t="s">
        <v>132</v>
      </c>
      <c r="H11" s="1" t="s">
        <v>7</v>
      </c>
      <c r="I11" s="1" t="s">
        <v>13</v>
      </c>
      <c r="J11" s="1" t="s">
        <v>22</v>
      </c>
      <c r="L11" s="1" t="s">
        <v>31</v>
      </c>
      <c r="N11" s="1" t="s">
        <v>50</v>
      </c>
      <c r="O11" s="1" t="s">
        <v>56</v>
      </c>
    </row>
    <row r="12" spans="6:15" x14ac:dyDescent="0.3">
      <c r="F12" s="1" t="s">
        <v>133</v>
      </c>
      <c r="H12" s="1" t="s">
        <v>8</v>
      </c>
      <c r="I12" s="1" t="s">
        <v>14</v>
      </c>
      <c r="L12" s="1" t="s">
        <v>32</v>
      </c>
      <c r="N12" s="1" t="s">
        <v>51</v>
      </c>
    </row>
    <row r="13" spans="6:15" x14ac:dyDescent="0.3">
      <c r="F13" s="1" t="s">
        <v>44</v>
      </c>
      <c r="I13" s="1" t="s">
        <v>15</v>
      </c>
      <c r="L13" s="1" t="s">
        <v>33</v>
      </c>
    </row>
    <row r="14" spans="6:15" x14ac:dyDescent="0.3">
      <c r="F14" s="1" t="s">
        <v>47</v>
      </c>
      <c r="I14" s="1" t="s">
        <v>16</v>
      </c>
      <c r="L14" s="1" t="s">
        <v>34</v>
      </c>
    </row>
    <row r="15" spans="6:15" x14ac:dyDescent="0.3">
      <c r="F15" s="1" t="s">
        <v>134</v>
      </c>
      <c r="I15" s="1" t="s">
        <v>17</v>
      </c>
      <c r="L15" s="1" t="s">
        <v>35</v>
      </c>
    </row>
    <row r="16" spans="6:15" x14ac:dyDescent="0.3">
      <c r="L16" s="1" t="s">
        <v>36</v>
      </c>
    </row>
    <row r="17" spans="12:12" x14ac:dyDescent="0.3">
      <c r="L17" s="1" t="s">
        <v>37</v>
      </c>
    </row>
    <row r="18" spans="12:12" x14ac:dyDescent="0.3">
      <c r="L18" s="1" t="s">
        <v>38</v>
      </c>
    </row>
    <row r="19" spans="12:12" x14ac:dyDescent="0.3">
      <c r="L19" s="1" t="s">
        <v>39</v>
      </c>
    </row>
    <row r="20" spans="12:12" x14ac:dyDescent="0.3">
      <c r="L20" s="1" t="s">
        <v>40</v>
      </c>
    </row>
    <row r="21" spans="12:12" x14ac:dyDescent="0.3">
      <c r="L21" s="1" t="s">
        <v>41</v>
      </c>
    </row>
    <row r="22" spans="12:12" x14ac:dyDescent="0.3">
      <c r="L22" s="1" t="s">
        <v>42</v>
      </c>
    </row>
  </sheetData>
  <pageMargins left="0.7" right="0.7" top="0.75" bottom="0.75" header="0.3" footer="0.3"/>
  <drawing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8C77-B65D-4D4E-AE47-3DCC8B52D4AC}">
  <sheetPr codeName="Sheet8"/>
  <dimension ref="F8:L50"/>
  <sheetViews>
    <sheetView workbookViewId="0">
      <selection activeCell="I6" sqref="I6"/>
    </sheetView>
  </sheetViews>
  <sheetFormatPr defaultRowHeight="14.4" x14ac:dyDescent="0.3"/>
  <cols>
    <col min="1" max="5" width="8.88671875" style="1"/>
    <col min="6" max="6" width="13.109375" style="1" bestFit="1" customWidth="1"/>
    <col min="7" max="7" width="18.21875" style="1" bestFit="1" customWidth="1"/>
    <col min="8" max="8" width="16.109375" style="1" bestFit="1" customWidth="1"/>
    <col min="9" max="9" width="8.88671875" style="1"/>
    <col min="10" max="10" width="9.5546875" style="1" customWidth="1"/>
    <col min="11" max="13" width="8.88671875" style="1"/>
    <col min="14" max="14" width="18.21875" style="1" bestFit="1" customWidth="1"/>
    <col min="15" max="16384" width="8.88671875" style="1"/>
  </cols>
  <sheetData>
    <row r="8" spans="6:9" x14ac:dyDescent="0.3">
      <c r="F8" s="5" t="s">
        <v>59</v>
      </c>
      <c r="G8" s="5" t="s">
        <v>60</v>
      </c>
      <c r="H8" s="5" t="s">
        <v>61</v>
      </c>
      <c r="I8" s="5" t="s">
        <v>62</v>
      </c>
    </row>
    <row r="9" spans="6:9" x14ac:dyDescent="0.3">
      <c r="F9" s="1" t="s">
        <v>80</v>
      </c>
      <c r="G9" s="1" t="s">
        <v>118</v>
      </c>
      <c r="H9" s="1" t="s">
        <v>63</v>
      </c>
      <c r="I9" s="1" t="s">
        <v>67</v>
      </c>
    </row>
    <row r="10" spans="6:9" x14ac:dyDescent="0.3">
      <c r="F10" s="1" t="s">
        <v>81</v>
      </c>
      <c r="G10" s="1" t="s">
        <v>119</v>
      </c>
      <c r="H10" s="1" t="s">
        <v>64</v>
      </c>
      <c r="I10" s="1" t="s">
        <v>69</v>
      </c>
    </row>
    <row r="11" spans="6:9" x14ac:dyDescent="0.3">
      <c r="F11" s="1" t="s">
        <v>82</v>
      </c>
      <c r="G11" s="1" t="s">
        <v>120</v>
      </c>
      <c r="H11" s="1" t="s">
        <v>64</v>
      </c>
      <c r="I11" s="1" t="s">
        <v>69</v>
      </c>
    </row>
    <row r="12" spans="6:9" x14ac:dyDescent="0.3">
      <c r="F12" s="1" t="s">
        <v>83</v>
      </c>
      <c r="G12" s="1" t="s">
        <v>121</v>
      </c>
      <c r="H12" s="1" t="s">
        <v>65</v>
      </c>
      <c r="I12" s="1" t="s">
        <v>68</v>
      </c>
    </row>
    <row r="13" spans="6:9" x14ac:dyDescent="0.3">
      <c r="F13" s="1" t="s">
        <v>84</v>
      </c>
      <c r="G13" s="1" t="s">
        <v>122</v>
      </c>
      <c r="H13" s="1" t="s">
        <v>66</v>
      </c>
      <c r="I13" s="1" t="s">
        <v>67</v>
      </c>
    </row>
    <row r="14" spans="6:9" x14ac:dyDescent="0.3">
      <c r="F14" s="1" t="s">
        <v>85</v>
      </c>
      <c r="G14" s="1" t="s">
        <v>123</v>
      </c>
      <c r="H14" s="1" t="s">
        <v>66</v>
      </c>
      <c r="I14" s="1" t="s">
        <v>67</v>
      </c>
    </row>
    <row r="15" spans="6:9" x14ac:dyDescent="0.3">
      <c r="F15" s="1" t="s">
        <v>86</v>
      </c>
      <c r="G15" s="1" t="s">
        <v>211</v>
      </c>
      <c r="H15" s="1" t="s">
        <v>63</v>
      </c>
      <c r="I15" s="1" t="s">
        <v>67</v>
      </c>
    </row>
    <row r="16" spans="6:9" x14ac:dyDescent="0.3">
      <c r="F16" s="1" t="s">
        <v>87</v>
      </c>
      <c r="G16" s="1" t="s">
        <v>181</v>
      </c>
      <c r="H16" s="1" t="s">
        <v>63</v>
      </c>
      <c r="I16" s="1" t="s">
        <v>69</v>
      </c>
    </row>
    <row r="17" spans="6:9" x14ac:dyDescent="0.3">
      <c r="F17" s="1" t="s">
        <v>88</v>
      </c>
      <c r="G17" s="1" t="s">
        <v>182</v>
      </c>
      <c r="H17" s="1" t="s">
        <v>63</v>
      </c>
      <c r="I17" s="1" t="s">
        <v>70</v>
      </c>
    </row>
    <row r="18" spans="6:9" x14ac:dyDescent="0.3">
      <c r="F18" s="1" t="s">
        <v>89</v>
      </c>
      <c r="G18" s="1" t="s">
        <v>183</v>
      </c>
      <c r="H18" s="1" t="s">
        <v>63</v>
      </c>
      <c r="I18" s="1" t="s">
        <v>71</v>
      </c>
    </row>
    <row r="19" spans="6:9" x14ac:dyDescent="0.3">
      <c r="F19" s="1" t="s">
        <v>90</v>
      </c>
      <c r="G19" s="1" t="s">
        <v>184</v>
      </c>
      <c r="H19" s="1" t="s">
        <v>65</v>
      </c>
      <c r="I19" s="1" t="s">
        <v>72</v>
      </c>
    </row>
    <row r="20" spans="6:9" x14ac:dyDescent="0.3">
      <c r="F20" s="1" t="s">
        <v>91</v>
      </c>
      <c r="G20" s="1" t="s">
        <v>185</v>
      </c>
      <c r="H20" s="1" t="s">
        <v>64</v>
      </c>
      <c r="I20" s="1" t="s">
        <v>73</v>
      </c>
    </row>
    <row r="21" spans="6:9" x14ac:dyDescent="0.3">
      <c r="F21" s="1" t="s">
        <v>92</v>
      </c>
      <c r="G21" s="1" t="s">
        <v>186</v>
      </c>
      <c r="H21" s="1" t="s">
        <v>66</v>
      </c>
      <c r="I21" s="1" t="s">
        <v>74</v>
      </c>
    </row>
    <row r="22" spans="6:9" x14ac:dyDescent="0.3">
      <c r="F22" s="1" t="s">
        <v>93</v>
      </c>
      <c r="G22" s="1" t="s">
        <v>187</v>
      </c>
      <c r="H22" s="1" t="s">
        <v>66</v>
      </c>
      <c r="I22" s="1" t="s">
        <v>74</v>
      </c>
    </row>
    <row r="23" spans="6:9" x14ac:dyDescent="0.3">
      <c r="F23" s="1" t="s">
        <v>94</v>
      </c>
      <c r="G23" s="1" t="s">
        <v>188</v>
      </c>
      <c r="H23" s="1" t="s">
        <v>66</v>
      </c>
      <c r="I23" s="1" t="s">
        <v>67</v>
      </c>
    </row>
    <row r="24" spans="6:9" x14ac:dyDescent="0.3">
      <c r="F24" s="1" t="s">
        <v>95</v>
      </c>
      <c r="G24" s="1" t="s">
        <v>189</v>
      </c>
      <c r="H24" s="1" t="s">
        <v>66</v>
      </c>
      <c r="I24" s="1" t="s">
        <v>69</v>
      </c>
    </row>
    <row r="25" spans="6:9" x14ac:dyDescent="0.3">
      <c r="F25" s="1" t="s">
        <v>96</v>
      </c>
      <c r="G25" s="1" t="s">
        <v>190</v>
      </c>
      <c r="H25" s="1" t="s">
        <v>66</v>
      </c>
      <c r="I25" s="1" t="s">
        <v>69</v>
      </c>
    </row>
    <row r="26" spans="6:9" x14ac:dyDescent="0.3">
      <c r="F26" s="1" t="s">
        <v>97</v>
      </c>
      <c r="G26" s="1" t="s">
        <v>191</v>
      </c>
      <c r="H26" s="1" t="s">
        <v>63</v>
      </c>
      <c r="I26" s="1" t="s">
        <v>72</v>
      </c>
    </row>
    <row r="27" spans="6:9" x14ac:dyDescent="0.3">
      <c r="F27" s="1" t="s">
        <v>98</v>
      </c>
      <c r="G27" s="1" t="s">
        <v>192</v>
      </c>
      <c r="H27" s="1" t="s">
        <v>65</v>
      </c>
      <c r="I27" s="1" t="s">
        <v>75</v>
      </c>
    </row>
    <row r="28" spans="6:9" x14ac:dyDescent="0.3">
      <c r="F28" s="1" t="s">
        <v>99</v>
      </c>
      <c r="G28" s="1" t="s">
        <v>193</v>
      </c>
      <c r="H28" s="1" t="s">
        <v>65</v>
      </c>
      <c r="I28" s="1" t="s">
        <v>76</v>
      </c>
    </row>
    <row r="29" spans="6:9" x14ac:dyDescent="0.3">
      <c r="F29" s="1" t="s">
        <v>100</v>
      </c>
      <c r="G29" s="1" t="s">
        <v>194</v>
      </c>
      <c r="H29" s="1" t="s">
        <v>64</v>
      </c>
      <c r="I29" s="1" t="s">
        <v>77</v>
      </c>
    </row>
    <row r="30" spans="6:9" x14ac:dyDescent="0.3">
      <c r="F30" s="1" t="s">
        <v>101</v>
      </c>
      <c r="G30" s="1" t="s">
        <v>195</v>
      </c>
      <c r="H30" s="1" t="s">
        <v>64</v>
      </c>
      <c r="I30" s="1" t="s">
        <v>67</v>
      </c>
    </row>
    <row r="31" spans="6:9" x14ac:dyDescent="0.3">
      <c r="F31" s="1" t="s">
        <v>102</v>
      </c>
      <c r="G31" s="1" t="s">
        <v>196</v>
      </c>
      <c r="H31" s="1" t="s">
        <v>64</v>
      </c>
      <c r="I31" s="1" t="s">
        <v>67</v>
      </c>
    </row>
    <row r="32" spans="6:9" x14ac:dyDescent="0.3">
      <c r="F32" s="1" t="s">
        <v>103</v>
      </c>
      <c r="G32" s="1" t="s">
        <v>197</v>
      </c>
      <c r="H32" s="1" t="s">
        <v>64</v>
      </c>
      <c r="I32" s="1" t="s">
        <v>67</v>
      </c>
    </row>
    <row r="33" spans="6:9" x14ac:dyDescent="0.3">
      <c r="F33" s="1" t="s">
        <v>104</v>
      </c>
      <c r="G33" s="1" t="s">
        <v>198</v>
      </c>
      <c r="H33" s="1" t="s">
        <v>65</v>
      </c>
      <c r="I33" s="1" t="s">
        <v>67</v>
      </c>
    </row>
    <row r="34" spans="6:9" x14ac:dyDescent="0.3">
      <c r="F34" s="1" t="s">
        <v>105</v>
      </c>
      <c r="G34" s="1" t="s">
        <v>199</v>
      </c>
      <c r="H34" s="1" t="s">
        <v>64</v>
      </c>
      <c r="I34" s="1" t="s">
        <v>69</v>
      </c>
    </row>
    <row r="35" spans="6:9" x14ac:dyDescent="0.3">
      <c r="F35" s="1" t="s">
        <v>106</v>
      </c>
      <c r="G35" s="1" t="s">
        <v>200</v>
      </c>
      <c r="H35" s="1" t="s">
        <v>66</v>
      </c>
      <c r="I35" s="1" t="s">
        <v>69</v>
      </c>
    </row>
    <row r="36" spans="6:9" x14ac:dyDescent="0.3">
      <c r="F36" s="1" t="s">
        <v>107</v>
      </c>
      <c r="G36" s="1" t="s">
        <v>201</v>
      </c>
      <c r="H36" s="1" t="s">
        <v>64</v>
      </c>
      <c r="I36" s="1" t="s">
        <v>72</v>
      </c>
    </row>
    <row r="37" spans="6:9" x14ac:dyDescent="0.3">
      <c r="F37" s="1" t="s">
        <v>108</v>
      </c>
      <c r="G37" s="1" t="s">
        <v>202</v>
      </c>
      <c r="H37" s="1" t="s">
        <v>64</v>
      </c>
      <c r="I37" s="1" t="s">
        <v>78</v>
      </c>
    </row>
    <row r="38" spans="6:9" x14ac:dyDescent="0.3">
      <c r="F38" s="1" t="s">
        <v>109</v>
      </c>
      <c r="G38" s="1" t="s">
        <v>203</v>
      </c>
      <c r="H38" s="1" t="s">
        <v>66</v>
      </c>
      <c r="I38" s="1" t="s">
        <v>79</v>
      </c>
    </row>
    <row r="39" spans="6:9" x14ac:dyDescent="0.3">
      <c r="F39" s="1" t="s">
        <v>110</v>
      </c>
      <c r="G39" s="1" t="s">
        <v>204</v>
      </c>
      <c r="H39" s="1" t="s">
        <v>66</v>
      </c>
      <c r="I39" s="1" t="s">
        <v>78</v>
      </c>
    </row>
    <row r="40" spans="6:9" x14ac:dyDescent="0.3">
      <c r="F40" s="1" t="s">
        <v>111</v>
      </c>
      <c r="G40" s="1" t="s">
        <v>205</v>
      </c>
      <c r="H40" s="1" t="s">
        <v>63</v>
      </c>
      <c r="I40" s="1" t="s">
        <v>78</v>
      </c>
    </row>
    <row r="41" spans="6:9" x14ac:dyDescent="0.3">
      <c r="F41" s="1" t="s">
        <v>112</v>
      </c>
      <c r="G41" s="1" t="s">
        <v>206</v>
      </c>
      <c r="H41" s="1" t="s">
        <v>66</v>
      </c>
      <c r="I41" s="1" t="s">
        <v>78</v>
      </c>
    </row>
    <row r="42" spans="6:9" x14ac:dyDescent="0.3">
      <c r="F42" s="1" t="s">
        <v>113</v>
      </c>
      <c r="G42" s="1" t="s">
        <v>207</v>
      </c>
      <c r="H42" s="1" t="s">
        <v>63</v>
      </c>
      <c r="I42" s="1" t="s">
        <v>75</v>
      </c>
    </row>
    <row r="43" spans="6:9" x14ac:dyDescent="0.3">
      <c r="F43" s="1" t="s">
        <v>114</v>
      </c>
      <c r="G43" s="1" t="s">
        <v>208</v>
      </c>
      <c r="H43" s="1" t="s">
        <v>63</v>
      </c>
      <c r="I43" s="1" t="s">
        <v>72</v>
      </c>
    </row>
    <row r="44" spans="6:9" x14ac:dyDescent="0.3">
      <c r="F44" s="1" t="s">
        <v>115</v>
      </c>
      <c r="G44" s="1" t="s">
        <v>209</v>
      </c>
      <c r="H44" s="1" t="s">
        <v>63</v>
      </c>
      <c r="I44" s="1" t="s">
        <v>69</v>
      </c>
    </row>
    <row r="45" spans="6:9" x14ac:dyDescent="0.3">
      <c r="F45" s="1" t="s">
        <v>116</v>
      </c>
      <c r="G45" s="1" t="s">
        <v>210</v>
      </c>
      <c r="H45" s="1" t="s">
        <v>63</v>
      </c>
      <c r="I45" s="1" t="s">
        <v>67</v>
      </c>
    </row>
    <row r="46" spans="6:9" x14ac:dyDescent="0.3">
      <c r="F46" s="1" t="s">
        <v>117</v>
      </c>
      <c r="G46" s="1" t="s">
        <v>212</v>
      </c>
      <c r="H46" s="1" t="s">
        <v>63</v>
      </c>
      <c r="I46" s="1" t="s">
        <v>67</v>
      </c>
    </row>
    <row r="50" spans="12:12" x14ac:dyDescent="0.3">
      <c r="L50" s="1" t="str">
        <f>A2 &amp; " " &amp; B2</f>
        <v xml:space="preserve"> 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81B15-CD51-4558-BF99-E9CA7FDA39EE}">
  <sheetPr codeName="Sheet9"/>
  <dimension ref="F7:I12"/>
  <sheetViews>
    <sheetView workbookViewId="0">
      <selection activeCell="H21" sqref="H21"/>
    </sheetView>
  </sheetViews>
  <sheetFormatPr defaultRowHeight="14.4" x14ac:dyDescent="0.3"/>
  <cols>
    <col min="1" max="5" width="8.88671875" style="1"/>
    <col min="6" max="6" width="10.88671875" style="1" customWidth="1"/>
    <col min="7" max="7" width="17" style="1" bestFit="1" customWidth="1"/>
    <col min="8" max="8" width="15.6640625" style="1" customWidth="1"/>
    <col min="9" max="9" width="9.5546875" style="1" customWidth="1"/>
    <col min="10" max="16384" width="8.88671875" style="1"/>
  </cols>
  <sheetData>
    <row r="7" spans="6:9" x14ac:dyDescent="0.3">
      <c r="F7" s="5" t="s">
        <v>124</v>
      </c>
      <c r="G7" s="5" t="s">
        <v>125</v>
      </c>
      <c r="H7" s="5" t="s">
        <v>61</v>
      </c>
      <c r="I7" s="5" t="s">
        <v>62</v>
      </c>
    </row>
    <row r="8" spans="6:9" x14ac:dyDescent="0.3">
      <c r="F8" s="1" t="s">
        <v>223</v>
      </c>
      <c r="G8" s="1" t="s">
        <v>213</v>
      </c>
      <c r="H8" s="1" t="s">
        <v>214</v>
      </c>
      <c r="I8" s="1" t="s">
        <v>67</v>
      </c>
    </row>
    <row r="9" spans="6:9" x14ac:dyDescent="0.3">
      <c r="F9" s="1" t="s">
        <v>224</v>
      </c>
      <c r="G9" s="1" t="s">
        <v>219</v>
      </c>
      <c r="H9" s="1" t="s">
        <v>215</v>
      </c>
      <c r="I9" s="1" t="s">
        <v>67</v>
      </c>
    </row>
    <row r="10" spans="6:9" x14ac:dyDescent="0.3">
      <c r="F10" s="1" t="s">
        <v>225</v>
      </c>
      <c r="G10" s="1" t="s">
        <v>220</v>
      </c>
      <c r="H10" s="1" t="s">
        <v>216</v>
      </c>
      <c r="I10" s="1" t="s">
        <v>67</v>
      </c>
    </row>
    <row r="11" spans="6:9" x14ac:dyDescent="0.3">
      <c r="F11" s="1" t="s">
        <v>226</v>
      </c>
      <c r="G11" s="1" t="s">
        <v>221</v>
      </c>
      <c r="H11" s="1" t="s">
        <v>217</v>
      </c>
      <c r="I11" s="1" t="s">
        <v>67</v>
      </c>
    </row>
    <row r="12" spans="6:9" x14ac:dyDescent="0.3">
      <c r="F12" s="1" t="s">
        <v>227</v>
      </c>
      <c r="G12" s="1" t="s">
        <v>222</v>
      </c>
      <c r="H12" s="1" t="s">
        <v>218</v>
      </c>
      <c r="I12" s="1" t="s">
        <v>67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A291E-55C6-4570-8C04-3111A8980398}">
  <sheetPr codeName="Sheet10"/>
  <dimension ref="A3:V70"/>
  <sheetViews>
    <sheetView workbookViewId="0">
      <selection activeCell="L14" sqref="L14"/>
    </sheetView>
  </sheetViews>
  <sheetFormatPr defaultRowHeight="14.4" x14ac:dyDescent="0.3"/>
  <cols>
    <col min="1" max="1" width="9.88671875" bestFit="1" customWidth="1"/>
    <col min="2" max="2" width="20.109375" bestFit="1" customWidth="1"/>
    <col min="3" max="3" width="4.109375" style="22" customWidth="1"/>
    <col min="5" max="5" width="7.109375" bestFit="1" customWidth="1"/>
    <col min="6" max="6" width="6" bestFit="1" customWidth="1"/>
    <col min="7" max="7" width="16.44140625" bestFit="1" customWidth="1"/>
    <col min="8" max="8" width="9.5546875" customWidth="1"/>
    <col min="9" max="9" width="18.88671875" bestFit="1" customWidth="1"/>
    <col min="10" max="10" width="8.33203125" bestFit="1" customWidth="1"/>
    <col min="11" max="12" width="9.88671875" bestFit="1" customWidth="1"/>
    <col min="13" max="14" width="7" bestFit="1" customWidth="1"/>
    <col min="15" max="15" width="9.88671875" bestFit="1" customWidth="1"/>
    <col min="16" max="16" width="16.5546875" bestFit="1" customWidth="1"/>
    <col min="17" max="17" width="5.6640625" bestFit="1" customWidth="1"/>
    <col min="18" max="19" width="9.88671875" bestFit="1" customWidth="1"/>
    <col min="20" max="20" width="10.33203125" bestFit="1" customWidth="1"/>
    <col min="21" max="21" width="15.6640625" bestFit="1" customWidth="1"/>
    <col min="22" max="22" width="10.5546875" bestFit="1" customWidth="1"/>
  </cols>
  <sheetData>
    <row r="3" spans="1:22" s="22" customFormat="1" ht="18" x14ac:dyDescent="0.35">
      <c r="A3" s="38" t="s">
        <v>239</v>
      </c>
      <c r="B3" s="38"/>
    </row>
    <row r="4" spans="1:22" x14ac:dyDescent="0.3">
      <c r="D4" s="29"/>
      <c r="E4" s="29"/>
      <c r="F4" s="29"/>
    </row>
    <row r="5" spans="1:22" x14ac:dyDescent="0.3">
      <c r="A5" t="s">
        <v>235</v>
      </c>
      <c r="D5" s="29"/>
      <c r="E5" s="27" t="s">
        <v>243</v>
      </c>
      <c r="I5" s="27" t="s">
        <v>240</v>
      </c>
      <c r="L5" s="27" t="s">
        <v>241</v>
      </c>
      <c r="P5" s="27" t="s">
        <v>244</v>
      </c>
    </row>
    <row r="6" spans="1:22" x14ac:dyDescent="0.3">
      <c r="A6" s="23">
        <v>38</v>
      </c>
      <c r="D6" s="29"/>
      <c r="E6" s="30" t="s">
        <v>127</v>
      </c>
      <c r="F6" t="s">
        <v>242</v>
      </c>
      <c r="I6" s="24" t="s">
        <v>1</v>
      </c>
      <c r="J6" t="s">
        <v>128</v>
      </c>
      <c r="L6" s="24" t="s">
        <v>1</v>
      </c>
      <c r="M6" t="s">
        <v>242</v>
      </c>
      <c r="P6" s="24" t="s">
        <v>1</v>
      </c>
      <c r="Q6" t="s">
        <v>233</v>
      </c>
      <c r="S6" t="s">
        <v>237</v>
      </c>
      <c r="T6" t="s">
        <v>246</v>
      </c>
    </row>
    <row r="7" spans="1:22" x14ac:dyDescent="0.3">
      <c r="D7" s="29"/>
      <c r="E7" s="31">
        <v>45659</v>
      </c>
      <c r="F7" s="23">
        <v>60500</v>
      </c>
      <c r="H7" s="23"/>
      <c r="I7" s="26" t="s">
        <v>36</v>
      </c>
      <c r="J7" s="23">
        <v>6</v>
      </c>
      <c r="L7" s="26" t="s">
        <v>229</v>
      </c>
      <c r="M7" s="23">
        <v>573000</v>
      </c>
      <c r="P7" s="26" t="s">
        <v>33</v>
      </c>
      <c r="Q7" s="23">
        <v>2</v>
      </c>
      <c r="S7" s="23">
        <v>192</v>
      </c>
      <c r="T7" s="23">
        <v>143</v>
      </c>
    </row>
    <row r="8" spans="1:22" x14ac:dyDescent="0.3">
      <c r="A8" t="s">
        <v>236</v>
      </c>
      <c r="D8" s="29"/>
      <c r="E8" s="31">
        <v>45660</v>
      </c>
      <c r="F8" s="23">
        <v>7500</v>
      </c>
      <c r="H8" s="23"/>
      <c r="I8" s="26" t="s">
        <v>9</v>
      </c>
      <c r="J8" s="23">
        <v>6</v>
      </c>
      <c r="L8" s="26" t="s">
        <v>230</v>
      </c>
      <c r="M8" s="23">
        <v>159500</v>
      </c>
      <c r="P8" s="26" t="s">
        <v>32</v>
      </c>
      <c r="Q8" s="23">
        <v>2</v>
      </c>
    </row>
    <row r="9" spans="1:22" x14ac:dyDescent="0.3">
      <c r="A9" s="23">
        <v>46</v>
      </c>
      <c r="D9" s="29"/>
      <c r="E9" s="31">
        <v>45661</v>
      </c>
      <c r="F9" s="23">
        <v>17500</v>
      </c>
      <c r="H9" s="23"/>
      <c r="I9" s="26" t="s">
        <v>55</v>
      </c>
      <c r="J9" s="23">
        <v>7</v>
      </c>
      <c r="L9" s="26" t="s">
        <v>247</v>
      </c>
      <c r="M9" s="23">
        <v>83000</v>
      </c>
      <c r="P9" s="26" t="s">
        <v>38</v>
      </c>
      <c r="Q9" s="23">
        <v>2</v>
      </c>
    </row>
    <row r="10" spans="1:22" x14ac:dyDescent="0.3">
      <c r="D10" s="29"/>
      <c r="E10" s="31">
        <v>45663</v>
      </c>
      <c r="F10" s="23">
        <v>46000</v>
      </c>
      <c r="H10" s="23"/>
      <c r="I10" s="26" t="s">
        <v>16</v>
      </c>
      <c r="J10" s="23">
        <v>9</v>
      </c>
      <c r="L10" s="26" t="s">
        <v>248</v>
      </c>
      <c r="M10" s="23">
        <v>11500</v>
      </c>
      <c r="P10" s="26" t="s">
        <v>3</v>
      </c>
      <c r="Q10" s="23">
        <v>2</v>
      </c>
    </row>
    <row r="11" spans="1:22" x14ac:dyDescent="0.3">
      <c r="A11" t="s">
        <v>237</v>
      </c>
      <c r="D11" s="29"/>
      <c r="E11" s="31">
        <v>45664</v>
      </c>
      <c r="F11" s="23">
        <v>6000</v>
      </c>
      <c r="H11" s="23"/>
      <c r="I11" s="26" t="s">
        <v>34</v>
      </c>
      <c r="J11" s="23">
        <v>9</v>
      </c>
      <c r="P11" s="26" t="s">
        <v>8</v>
      </c>
      <c r="Q11" s="23">
        <v>2</v>
      </c>
      <c r="S11" t="s">
        <v>246</v>
      </c>
    </row>
    <row r="12" spans="1:22" x14ac:dyDescent="0.3">
      <c r="A12" s="32">
        <v>827000</v>
      </c>
      <c r="D12" s="29"/>
      <c r="E12" s="31">
        <v>45666</v>
      </c>
      <c r="F12" s="23">
        <v>38500</v>
      </c>
      <c r="H12" s="23"/>
      <c r="I12" s="26" t="s">
        <v>6</v>
      </c>
      <c r="J12" s="23">
        <v>9</v>
      </c>
      <c r="P12" s="26" t="s">
        <v>20</v>
      </c>
      <c r="Q12" s="23">
        <v>2</v>
      </c>
      <c r="S12" s="23">
        <v>143</v>
      </c>
    </row>
    <row r="13" spans="1:22" x14ac:dyDescent="0.3">
      <c r="D13" s="29"/>
      <c r="E13" s="31">
        <v>45667</v>
      </c>
      <c r="F13" s="23">
        <v>10500</v>
      </c>
      <c r="H13" s="23"/>
      <c r="I13" s="26" t="s">
        <v>51</v>
      </c>
      <c r="J13" s="23">
        <v>9</v>
      </c>
      <c r="P13" s="26" t="s">
        <v>13</v>
      </c>
      <c r="Q13" s="23">
        <v>2</v>
      </c>
    </row>
    <row r="14" spans="1:22" x14ac:dyDescent="0.3">
      <c r="A14" t="s">
        <v>129</v>
      </c>
      <c r="D14" s="29"/>
      <c r="E14" s="31">
        <v>45668</v>
      </c>
      <c r="F14" s="23">
        <v>32500</v>
      </c>
      <c r="H14" s="23"/>
      <c r="I14" s="26" t="s">
        <v>32</v>
      </c>
      <c r="J14" s="23">
        <v>10</v>
      </c>
      <c r="P14" s="26" t="s">
        <v>5</v>
      </c>
      <c r="Q14" s="23">
        <v>1</v>
      </c>
    </row>
    <row r="15" spans="1:22" x14ac:dyDescent="0.3">
      <c r="A15" s="32">
        <v>805800</v>
      </c>
      <c r="D15" s="29"/>
      <c r="E15" s="31">
        <v>45669</v>
      </c>
      <c r="F15" s="23">
        <v>7500</v>
      </c>
      <c r="H15" s="23"/>
      <c r="I15" s="26" t="s">
        <v>35</v>
      </c>
      <c r="J15" s="23">
        <v>15</v>
      </c>
      <c r="P15" s="26" t="s">
        <v>42</v>
      </c>
      <c r="Q15" s="23">
        <v>1</v>
      </c>
      <c r="S15" t="s">
        <v>252</v>
      </c>
      <c r="U15" t="s">
        <v>252</v>
      </c>
      <c r="V15">
        <f>GETPIVOTDATA("[Measures].[ProfitMargin]",$S$15)</f>
        <v>41.934703748488509</v>
      </c>
    </row>
    <row r="16" spans="1:22" x14ac:dyDescent="0.3">
      <c r="D16" s="29"/>
      <c r="E16" s="31">
        <v>45670</v>
      </c>
      <c r="F16" s="23">
        <v>36500</v>
      </c>
      <c r="H16" s="23"/>
      <c r="I16" s="26" t="s">
        <v>56</v>
      </c>
      <c r="J16" s="23">
        <v>16</v>
      </c>
      <c r="P16" s="26" t="s">
        <v>48</v>
      </c>
      <c r="Q16" s="23">
        <v>1</v>
      </c>
      <c r="S16" s="33">
        <v>41.934703748488509</v>
      </c>
      <c r="U16" t="s">
        <v>253</v>
      </c>
      <c r="V16">
        <f>100-V15</f>
        <v>58.065296251511491</v>
      </c>
    </row>
    <row r="17" spans="1:22" x14ac:dyDescent="0.3">
      <c r="A17" t="s">
        <v>234</v>
      </c>
      <c r="D17" s="29"/>
      <c r="E17" s="31">
        <v>45671</v>
      </c>
      <c r="F17" s="23">
        <v>9000</v>
      </c>
      <c r="H17" s="23"/>
      <c r="P17" s="26" t="s">
        <v>30</v>
      </c>
      <c r="Q17" s="23">
        <v>1</v>
      </c>
      <c r="U17" t="s">
        <v>254</v>
      </c>
      <c r="V17">
        <v>100</v>
      </c>
    </row>
    <row r="18" spans="1:22" x14ac:dyDescent="0.3">
      <c r="A18" s="32">
        <v>325600</v>
      </c>
      <c r="D18" s="29"/>
      <c r="E18" s="31">
        <v>45672</v>
      </c>
      <c r="F18" s="23">
        <v>15000</v>
      </c>
      <c r="H18" s="23"/>
      <c r="P18" s="26" t="s">
        <v>26</v>
      </c>
      <c r="Q18" s="23">
        <v>1</v>
      </c>
    </row>
    <row r="19" spans="1:22" x14ac:dyDescent="0.3">
      <c r="D19" s="29"/>
      <c r="E19" s="31">
        <v>45673</v>
      </c>
      <c r="F19" s="23">
        <v>11000</v>
      </c>
      <c r="H19" s="23"/>
      <c r="I19" s="27" t="s">
        <v>250</v>
      </c>
      <c r="L19" s="27" t="s">
        <v>249</v>
      </c>
      <c r="P19" s="26" t="s">
        <v>14</v>
      </c>
      <c r="Q19" s="23">
        <v>1</v>
      </c>
    </row>
    <row r="20" spans="1:22" x14ac:dyDescent="0.3">
      <c r="A20" t="s">
        <v>238</v>
      </c>
      <c r="D20" s="29"/>
      <c r="E20" s="31">
        <v>45674</v>
      </c>
      <c r="F20" s="23">
        <v>5000</v>
      </c>
      <c r="H20" s="23"/>
      <c r="I20" s="24" t="s">
        <v>1</v>
      </c>
      <c r="J20" t="s">
        <v>128</v>
      </c>
      <c r="L20" s="24" t="s">
        <v>1</v>
      </c>
      <c r="P20" s="26" t="s">
        <v>6</v>
      </c>
      <c r="Q20" s="23">
        <v>1</v>
      </c>
    </row>
    <row r="21" spans="1:22" x14ac:dyDescent="0.3">
      <c r="A21" s="23">
        <v>346800</v>
      </c>
      <c r="D21" s="29"/>
      <c r="E21" s="31">
        <v>45675</v>
      </c>
      <c r="F21" s="23">
        <v>55000</v>
      </c>
      <c r="H21" s="23"/>
      <c r="I21" s="26" t="s">
        <v>38</v>
      </c>
      <c r="J21" s="23">
        <v>1</v>
      </c>
      <c r="L21" s="26" t="s">
        <v>42</v>
      </c>
      <c r="P21" s="26" t="s">
        <v>7</v>
      </c>
      <c r="Q21" s="23">
        <v>1</v>
      </c>
      <c r="S21" t="s">
        <v>256</v>
      </c>
      <c r="T21" t="s">
        <v>257</v>
      </c>
    </row>
    <row r="22" spans="1:22" x14ac:dyDescent="0.3">
      <c r="D22" s="29"/>
      <c r="E22" s="31">
        <v>45676</v>
      </c>
      <c r="F22" s="23">
        <v>44000</v>
      </c>
      <c r="H22" s="23"/>
      <c r="I22" s="26" t="s">
        <v>26</v>
      </c>
      <c r="J22" s="23">
        <v>1</v>
      </c>
      <c r="L22" s="26" t="s">
        <v>40</v>
      </c>
      <c r="P22" s="26" t="s">
        <v>40</v>
      </c>
      <c r="Q22" s="23">
        <v>1</v>
      </c>
      <c r="S22" s="34">
        <v>0.36468646864686466</v>
      </c>
      <c r="T22" s="33"/>
    </row>
    <row r="23" spans="1:22" x14ac:dyDescent="0.3">
      <c r="A23" t="s">
        <v>245</v>
      </c>
      <c r="D23" s="29"/>
      <c r="E23" s="31">
        <v>45677</v>
      </c>
      <c r="F23" s="23">
        <v>23000</v>
      </c>
      <c r="H23" s="23"/>
      <c r="I23" s="26" t="s">
        <v>11</v>
      </c>
      <c r="J23" s="23">
        <v>1</v>
      </c>
      <c r="L23" s="26" t="s">
        <v>37</v>
      </c>
      <c r="P23" s="26" t="s">
        <v>46</v>
      </c>
      <c r="Q23" s="23">
        <v>0</v>
      </c>
    </row>
    <row r="24" spans="1:22" x14ac:dyDescent="0.3">
      <c r="A24" s="23">
        <v>335</v>
      </c>
      <c r="D24" s="29"/>
      <c r="E24" s="31">
        <v>45678</v>
      </c>
      <c r="F24" s="23">
        <v>61000</v>
      </c>
      <c r="H24" s="23"/>
      <c r="I24" s="26" t="s">
        <v>18</v>
      </c>
      <c r="J24" s="23">
        <v>1</v>
      </c>
      <c r="P24" s="26" t="s">
        <v>17</v>
      </c>
      <c r="Q24" s="23">
        <v>0</v>
      </c>
    </row>
    <row r="25" spans="1:22" x14ac:dyDescent="0.3">
      <c r="D25" s="29"/>
      <c r="E25" s="31">
        <v>45679</v>
      </c>
      <c r="F25" s="23">
        <v>56500</v>
      </c>
      <c r="H25" s="23"/>
      <c r="I25" s="26" t="s">
        <v>33</v>
      </c>
      <c r="J25" s="23">
        <v>1</v>
      </c>
      <c r="P25" s="26" t="s">
        <v>29</v>
      </c>
      <c r="Q25" s="23">
        <v>0</v>
      </c>
    </row>
    <row r="26" spans="1:22" x14ac:dyDescent="0.3">
      <c r="A26" t="s">
        <v>251</v>
      </c>
      <c r="D26" s="29"/>
      <c r="E26" s="31">
        <v>45680</v>
      </c>
      <c r="F26" s="23">
        <v>35500</v>
      </c>
      <c r="H26" s="23"/>
      <c r="I26" s="26" t="s">
        <v>22</v>
      </c>
      <c r="J26" s="23">
        <v>1</v>
      </c>
      <c r="P26" s="26" t="s">
        <v>23</v>
      </c>
      <c r="Q26" s="23">
        <v>0</v>
      </c>
    </row>
    <row r="27" spans="1:22" x14ac:dyDescent="0.3">
      <c r="A27" s="23">
        <v>5</v>
      </c>
      <c r="D27" s="29"/>
      <c r="E27" s="31">
        <v>45681</v>
      </c>
      <c r="F27" s="23">
        <v>28000</v>
      </c>
      <c r="H27" s="23"/>
      <c r="I27" s="26" t="s">
        <v>48</v>
      </c>
      <c r="J27" s="23">
        <v>2</v>
      </c>
      <c r="P27" s="26" t="s">
        <v>21</v>
      </c>
      <c r="Q27" s="23">
        <v>0</v>
      </c>
    </row>
    <row r="28" spans="1:22" x14ac:dyDescent="0.3">
      <c r="D28" s="29"/>
      <c r="E28" s="31">
        <v>45682</v>
      </c>
      <c r="F28" s="23">
        <v>26000</v>
      </c>
      <c r="H28" s="23"/>
      <c r="I28" s="26" t="s">
        <v>8</v>
      </c>
      <c r="J28" s="23">
        <v>2</v>
      </c>
    </row>
    <row r="29" spans="1:22" x14ac:dyDescent="0.3">
      <c r="D29" s="29"/>
      <c r="E29" s="31">
        <v>45684</v>
      </c>
      <c r="F29" s="23">
        <v>24000</v>
      </c>
      <c r="H29" s="23"/>
      <c r="I29" s="26" t="s">
        <v>17</v>
      </c>
      <c r="J29" s="23">
        <v>2</v>
      </c>
    </row>
    <row r="30" spans="1:22" x14ac:dyDescent="0.3">
      <c r="D30" s="29"/>
      <c r="E30" s="31">
        <v>45685</v>
      </c>
      <c r="F30" s="23">
        <v>33000</v>
      </c>
      <c r="H30" s="23"/>
      <c r="I30" s="26" t="s">
        <v>50</v>
      </c>
      <c r="J30" s="23">
        <v>2</v>
      </c>
    </row>
    <row r="31" spans="1:22" x14ac:dyDescent="0.3">
      <c r="D31" s="29"/>
      <c r="E31" s="31">
        <v>45686</v>
      </c>
      <c r="F31" s="23">
        <v>45500</v>
      </c>
      <c r="H31" s="23"/>
    </row>
    <row r="32" spans="1:22" x14ac:dyDescent="0.3">
      <c r="D32" s="29"/>
      <c r="E32" s="31">
        <v>45687</v>
      </c>
      <c r="F32" s="23">
        <v>51000</v>
      </c>
      <c r="H32" s="23"/>
    </row>
    <row r="33" spans="4:6" x14ac:dyDescent="0.3">
      <c r="D33" s="29"/>
      <c r="E33" s="31">
        <v>45688</v>
      </c>
      <c r="F33" s="23">
        <v>41500</v>
      </c>
    </row>
    <row r="34" spans="4:6" x14ac:dyDescent="0.3">
      <c r="D34" s="29"/>
    </row>
    <row r="35" spans="4:6" x14ac:dyDescent="0.3">
      <c r="D35" s="29"/>
    </row>
    <row r="36" spans="4:6" x14ac:dyDescent="0.3">
      <c r="D36" s="29"/>
    </row>
    <row r="37" spans="4:6" x14ac:dyDescent="0.3">
      <c r="D37" s="29"/>
    </row>
    <row r="38" spans="4:6" x14ac:dyDescent="0.3">
      <c r="D38" s="29"/>
    </row>
    <row r="39" spans="4:6" x14ac:dyDescent="0.3">
      <c r="D39" s="29"/>
    </row>
    <row r="40" spans="4:6" x14ac:dyDescent="0.3">
      <c r="D40" s="29"/>
    </row>
    <row r="41" spans="4:6" x14ac:dyDescent="0.3">
      <c r="D41" s="29"/>
    </row>
    <row r="42" spans="4:6" x14ac:dyDescent="0.3">
      <c r="D42" s="29"/>
    </row>
    <row r="43" spans="4:6" x14ac:dyDescent="0.3">
      <c r="D43" s="29"/>
    </row>
    <row r="44" spans="4:6" x14ac:dyDescent="0.3">
      <c r="D44" s="29"/>
    </row>
    <row r="45" spans="4:6" x14ac:dyDescent="0.3">
      <c r="D45" s="29"/>
    </row>
    <row r="46" spans="4:6" x14ac:dyDescent="0.3">
      <c r="D46" s="29"/>
    </row>
    <row r="47" spans="4:6" x14ac:dyDescent="0.3">
      <c r="D47" s="29"/>
    </row>
    <row r="48" spans="4:6" x14ac:dyDescent="0.3">
      <c r="D48" s="29"/>
    </row>
    <row r="49" spans="4:4" x14ac:dyDescent="0.3">
      <c r="D49" s="29"/>
    </row>
    <row r="50" spans="4:4" x14ac:dyDescent="0.3">
      <c r="D50" s="29"/>
    </row>
    <row r="51" spans="4:4" x14ac:dyDescent="0.3">
      <c r="D51" s="29"/>
    </row>
    <row r="52" spans="4:4" x14ac:dyDescent="0.3">
      <c r="D52" s="29"/>
    </row>
    <row r="53" spans="4:4" x14ac:dyDescent="0.3">
      <c r="D53" s="29"/>
    </row>
    <row r="54" spans="4:4" x14ac:dyDescent="0.3">
      <c r="D54" s="29"/>
    </row>
    <row r="55" spans="4:4" x14ac:dyDescent="0.3">
      <c r="D55" s="29"/>
    </row>
    <row r="56" spans="4:4" x14ac:dyDescent="0.3">
      <c r="D56" s="29"/>
    </row>
    <row r="57" spans="4:4" x14ac:dyDescent="0.3">
      <c r="D57" s="29"/>
    </row>
    <row r="58" spans="4:4" x14ac:dyDescent="0.3">
      <c r="D58" s="29"/>
    </row>
    <row r="59" spans="4:4" x14ac:dyDescent="0.3">
      <c r="D59" s="29"/>
    </row>
    <row r="60" spans="4:4" x14ac:dyDescent="0.3">
      <c r="D60" s="29"/>
    </row>
    <row r="61" spans="4:4" x14ac:dyDescent="0.3">
      <c r="D61" s="29"/>
    </row>
    <row r="62" spans="4:4" x14ac:dyDescent="0.3">
      <c r="D62" s="29"/>
    </row>
    <row r="63" spans="4:4" x14ac:dyDescent="0.3">
      <c r="D63" s="29"/>
    </row>
    <row r="64" spans="4:4" x14ac:dyDescent="0.3">
      <c r="D64" s="29"/>
    </row>
    <row r="65" spans="4:4" x14ac:dyDescent="0.3">
      <c r="D65" s="29"/>
    </row>
    <row r="66" spans="4:4" x14ac:dyDescent="0.3">
      <c r="D66" s="29"/>
    </row>
    <row r="67" spans="4:4" x14ac:dyDescent="0.3">
      <c r="D67" s="29"/>
    </row>
    <row r="68" spans="4:4" x14ac:dyDescent="0.3">
      <c r="D68" s="29"/>
    </row>
    <row r="69" spans="4:4" x14ac:dyDescent="0.3">
      <c r="D69" s="29"/>
    </row>
    <row r="70" spans="4:4" x14ac:dyDescent="0.3">
      <c r="D70" s="29"/>
    </row>
  </sheetData>
  <mergeCells count="1">
    <mergeCell ref="A3:B3"/>
  </mergeCells>
  <conditionalFormatting pivot="1" sqref="S22">
    <cfRule type="expression" dxfId="10" priority="2">
      <formula>S22&gt;0</formula>
    </cfRule>
  </conditionalFormatting>
  <conditionalFormatting pivot="1" sqref="S22">
    <cfRule type="expression" dxfId="9" priority="1">
      <formula>S22&lt;0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A020D-D5F7-4E55-AE38-3C0FE45C67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Dashboard</vt:lpstr>
      <vt:lpstr>New Entry</vt:lpstr>
      <vt:lpstr>Sales</vt:lpstr>
      <vt:lpstr>Purchase</vt:lpstr>
      <vt:lpstr>Inventory</vt:lpstr>
      <vt:lpstr>Products</vt:lpstr>
      <vt:lpstr>Product Categories</vt:lpstr>
      <vt:lpstr>Customers</vt:lpstr>
      <vt:lpstr>Vendors</vt:lpstr>
      <vt:lpstr>PivotTable</vt:lpstr>
      <vt:lpstr>Categories</vt:lpstr>
      <vt:lpstr>Cost</vt:lpstr>
      <vt:lpstr>Customer</vt:lpstr>
      <vt:lpstr>Vendor_Name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Blessedsarah Omolola</dc:creator>
  <cp:lastModifiedBy>Blessedsarah Omolola</cp:lastModifiedBy>
  <dcterms:created xsi:type="dcterms:W3CDTF">2025-02-06T23:55:57Z</dcterms:created>
  <dcterms:modified xsi:type="dcterms:W3CDTF">2025-03-07T23:36:29Z</dcterms:modified>
</cp:coreProperties>
</file>